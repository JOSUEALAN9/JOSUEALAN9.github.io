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oga L13\Downloads\"/>
    </mc:Choice>
  </mc:AlternateContent>
  <xr:revisionPtr revIDLastSave="0" documentId="13_ncr:1_{FA916CD1-F496-4035-853F-26939B02F761}" xr6:coauthVersionLast="47" xr6:coauthVersionMax="47" xr10:uidLastSave="{00000000-0000-0000-0000-000000000000}"/>
  <bookViews>
    <workbookView xWindow="-110" yWindow="-110" windowWidth="19420" windowHeight="11020" tabRatio="612" xr2:uid="{00000000-000D-0000-FFFF-FFFF00000000}"/>
  </bookViews>
  <sheets>
    <sheet name="ISN" sheetId="1" r:id="rId1"/>
    <sheet name="RET ISN" sheetId="12" r:id="rId2"/>
    <sheet name="ISH" sheetId="11" r:id="rId3"/>
    <sheet name="RESUMEN" sheetId="10" r:id="rId4"/>
    <sheet name="VAR" sheetId="7" r:id="rId5"/>
  </sheets>
  <definedNames>
    <definedName name="_Order1" hidden="1">255</definedName>
    <definedName name="_Parse_Out" hidden="1">#REF!</definedName>
    <definedName name="AS2DocOpenMode" hidden="1">"AS2DocumentEdit"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77" i="1" l="1"/>
  <c r="G29" i="11"/>
  <c r="E77" i="1"/>
  <c r="D79" i="1" s="1"/>
  <c r="G5" i="1"/>
  <c r="G71" i="11"/>
  <c r="G65" i="11"/>
  <c r="G59" i="11"/>
  <c r="G53" i="11"/>
  <c r="G47" i="11"/>
  <c r="G41" i="11"/>
  <c r="G35" i="11"/>
  <c r="G23" i="11"/>
  <c r="G17" i="11"/>
  <c r="G11" i="11"/>
  <c r="M11" i="11" s="1"/>
  <c r="G5" i="11"/>
  <c r="M5" i="11" s="1"/>
  <c r="A1" i="12"/>
  <c r="E77" i="12" l="1"/>
  <c r="M77" i="12"/>
  <c r="L77" i="12"/>
  <c r="K77" i="12"/>
  <c r="J77" i="12"/>
  <c r="I77" i="12"/>
  <c r="F77" i="12"/>
  <c r="E79" i="12" s="1"/>
  <c r="H75" i="12"/>
  <c r="N75" i="12" s="1"/>
  <c r="H74" i="12"/>
  <c r="N74" i="12" s="1"/>
  <c r="H73" i="12"/>
  <c r="N73" i="12" s="1"/>
  <c r="H72" i="12"/>
  <c r="N72" i="12" s="1"/>
  <c r="H71" i="12"/>
  <c r="N71" i="12" s="1"/>
  <c r="H69" i="12"/>
  <c r="N69" i="12" s="1"/>
  <c r="H68" i="12"/>
  <c r="N68" i="12" s="1"/>
  <c r="P68" i="12" s="1"/>
  <c r="H67" i="12"/>
  <c r="N67" i="12" s="1"/>
  <c r="P67" i="12" s="1"/>
  <c r="H66" i="12"/>
  <c r="N66" i="12" s="1"/>
  <c r="H65" i="12"/>
  <c r="N65" i="12" s="1"/>
  <c r="H63" i="12"/>
  <c r="N63" i="12" s="1"/>
  <c r="H62" i="12"/>
  <c r="N62" i="12" s="1"/>
  <c r="H61" i="12"/>
  <c r="N61" i="12" s="1"/>
  <c r="H60" i="12"/>
  <c r="N60" i="12" s="1"/>
  <c r="H59" i="12"/>
  <c r="N59" i="12" s="1"/>
  <c r="H57" i="12"/>
  <c r="N57" i="12" s="1"/>
  <c r="P57" i="12" s="1"/>
  <c r="H56" i="12"/>
  <c r="N56" i="12" s="1"/>
  <c r="P56" i="12" s="1"/>
  <c r="H55" i="12"/>
  <c r="N55" i="12" s="1"/>
  <c r="P55" i="12" s="1"/>
  <c r="H54" i="12"/>
  <c r="N54" i="12" s="1"/>
  <c r="P54" i="12" s="1"/>
  <c r="H53" i="12"/>
  <c r="N53" i="12" s="1"/>
  <c r="H51" i="12"/>
  <c r="N51" i="12" s="1"/>
  <c r="P51" i="12" s="1"/>
  <c r="H50" i="12"/>
  <c r="N50" i="12" s="1"/>
  <c r="P50" i="12" s="1"/>
  <c r="H49" i="12"/>
  <c r="N49" i="12" s="1"/>
  <c r="P49" i="12" s="1"/>
  <c r="H48" i="12"/>
  <c r="N48" i="12" s="1"/>
  <c r="P48" i="12" s="1"/>
  <c r="H47" i="12"/>
  <c r="N47" i="12" s="1"/>
  <c r="H45" i="12"/>
  <c r="N45" i="12" s="1"/>
  <c r="P45" i="12" s="1"/>
  <c r="H44" i="12"/>
  <c r="N44" i="12" s="1"/>
  <c r="P44" i="12" s="1"/>
  <c r="H43" i="12"/>
  <c r="N43" i="12" s="1"/>
  <c r="P43" i="12" s="1"/>
  <c r="H42" i="12"/>
  <c r="N42" i="12" s="1"/>
  <c r="P42" i="12" s="1"/>
  <c r="H41" i="12"/>
  <c r="N41" i="12" s="1"/>
  <c r="H39" i="12"/>
  <c r="N39" i="12" s="1"/>
  <c r="P39" i="12" s="1"/>
  <c r="H38" i="12"/>
  <c r="N38" i="12" s="1"/>
  <c r="P38" i="12" s="1"/>
  <c r="H37" i="12"/>
  <c r="N37" i="12" s="1"/>
  <c r="P37" i="12" s="1"/>
  <c r="H36" i="12"/>
  <c r="N36" i="12" s="1"/>
  <c r="P36" i="12" s="1"/>
  <c r="H35" i="12"/>
  <c r="N35" i="12" s="1"/>
  <c r="H33" i="12"/>
  <c r="N33" i="12" s="1"/>
  <c r="P33" i="12" s="1"/>
  <c r="H32" i="12"/>
  <c r="N32" i="12" s="1"/>
  <c r="P32" i="12" s="1"/>
  <c r="H31" i="12"/>
  <c r="N31" i="12" s="1"/>
  <c r="P31" i="12" s="1"/>
  <c r="H30" i="12"/>
  <c r="N30" i="12" s="1"/>
  <c r="P30" i="12" s="1"/>
  <c r="H29" i="12"/>
  <c r="N29" i="12" s="1"/>
  <c r="H27" i="12"/>
  <c r="N27" i="12" s="1"/>
  <c r="P27" i="12" s="1"/>
  <c r="H26" i="12"/>
  <c r="N26" i="12" s="1"/>
  <c r="P26" i="12" s="1"/>
  <c r="H25" i="12"/>
  <c r="N25" i="12" s="1"/>
  <c r="P25" i="12" s="1"/>
  <c r="H24" i="12"/>
  <c r="N24" i="12" s="1"/>
  <c r="P24" i="12" s="1"/>
  <c r="H23" i="12"/>
  <c r="N23" i="12" s="1"/>
  <c r="H20" i="12"/>
  <c r="N20" i="12" s="1"/>
  <c r="P20" i="12" s="1"/>
  <c r="H19" i="12"/>
  <c r="N19" i="12" s="1"/>
  <c r="P19" i="12" s="1"/>
  <c r="H18" i="12"/>
  <c r="N18" i="12" s="1"/>
  <c r="P18" i="12" s="1"/>
  <c r="H17" i="12"/>
  <c r="N17" i="12" s="1"/>
  <c r="H15" i="12"/>
  <c r="N15" i="12" s="1"/>
  <c r="P15" i="12" s="1"/>
  <c r="H14" i="12"/>
  <c r="N14" i="12" s="1"/>
  <c r="P14" i="12" s="1"/>
  <c r="H13" i="12"/>
  <c r="N13" i="12" s="1"/>
  <c r="P13" i="12" s="1"/>
  <c r="H12" i="12"/>
  <c r="N12" i="12" s="1"/>
  <c r="P12" i="12" s="1"/>
  <c r="H11" i="12"/>
  <c r="N11" i="12" s="1"/>
  <c r="H9" i="12"/>
  <c r="N9" i="12" s="1"/>
  <c r="P9" i="12" s="1"/>
  <c r="H8" i="12"/>
  <c r="N8" i="12" s="1"/>
  <c r="P8" i="12" s="1"/>
  <c r="H7" i="12"/>
  <c r="N7" i="12" s="1"/>
  <c r="P7" i="12" s="1"/>
  <c r="H6" i="12"/>
  <c r="H5" i="12"/>
  <c r="N5" i="12" s="1"/>
  <c r="D11" i="10" l="1"/>
  <c r="D12" i="10"/>
  <c r="D14" i="10"/>
  <c r="D15" i="10"/>
  <c r="D13" i="10"/>
  <c r="D5" i="10"/>
  <c r="D4" i="10"/>
  <c r="D6" i="10"/>
  <c r="D7" i="10"/>
  <c r="D8" i="10"/>
  <c r="D9" i="10"/>
  <c r="D10" i="10"/>
  <c r="H77" i="12"/>
  <c r="F79" i="12" s="1"/>
  <c r="P69" i="12"/>
  <c r="O69" i="12"/>
  <c r="P60" i="12"/>
  <c r="O60" i="12" s="1"/>
  <c r="P61" i="12"/>
  <c r="O61" i="12" s="1"/>
  <c r="P62" i="12"/>
  <c r="O62" i="12"/>
  <c r="P63" i="12"/>
  <c r="O63" i="12" s="1"/>
  <c r="P66" i="12"/>
  <c r="O66" i="12"/>
  <c r="N6" i="12"/>
  <c r="P6" i="12" s="1"/>
  <c r="O68" i="12"/>
  <c r="O67" i="12"/>
  <c r="K77" i="11"/>
  <c r="G71" i="1"/>
  <c r="G65" i="1"/>
  <c r="M65" i="1" s="1"/>
  <c r="G59" i="1"/>
  <c r="G53" i="1"/>
  <c r="G47" i="1"/>
  <c r="G41" i="1"/>
  <c r="G35" i="1"/>
  <c r="G29" i="1"/>
  <c r="G23" i="1"/>
  <c r="G17" i="1"/>
  <c r="G11" i="1"/>
  <c r="M5" i="1"/>
  <c r="A1" i="11"/>
  <c r="P77" i="12" l="1"/>
  <c r="D17" i="10"/>
  <c r="O77" i="12"/>
  <c r="N77" i="12"/>
  <c r="O79" i="12" l="1"/>
  <c r="L77" i="11"/>
  <c r="J77" i="11"/>
  <c r="I77" i="11"/>
  <c r="H77" i="11"/>
  <c r="E77" i="11"/>
  <c r="D79" i="11" s="1"/>
  <c r="G75" i="11"/>
  <c r="M75" i="11" s="1"/>
  <c r="G74" i="11"/>
  <c r="M74" i="11" s="1"/>
  <c r="G73" i="11"/>
  <c r="M73" i="11" s="1"/>
  <c r="G72" i="11"/>
  <c r="M72" i="11" s="1"/>
  <c r="G69" i="11"/>
  <c r="G68" i="11"/>
  <c r="G67" i="11"/>
  <c r="G66" i="11"/>
  <c r="G63" i="11"/>
  <c r="G62" i="11"/>
  <c r="G61" i="11"/>
  <c r="G60" i="11"/>
  <c r="G57" i="11"/>
  <c r="G56" i="11"/>
  <c r="G55" i="11"/>
  <c r="G54" i="11"/>
  <c r="G51" i="11"/>
  <c r="G50" i="11"/>
  <c r="G49" i="11"/>
  <c r="G48" i="11"/>
  <c r="G45" i="11"/>
  <c r="G44" i="11"/>
  <c r="G43" i="11"/>
  <c r="G42" i="11"/>
  <c r="G39" i="11"/>
  <c r="G38" i="11"/>
  <c r="G37" i="11"/>
  <c r="G36" i="11"/>
  <c r="G33" i="11"/>
  <c r="G32" i="11"/>
  <c r="G31" i="11"/>
  <c r="G30" i="11"/>
  <c r="G27" i="11"/>
  <c r="G26" i="11"/>
  <c r="G25" i="11"/>
  <c r="G24" i="11"/>
  <c r="G20" i="11"/>
  <c r="G19" i="11"/>
  <c r="G18" i="11"/>
  <c r="G15" i="11"/>
  <c r="G14" i="11"/>
  <c r="G13" i="11"/>
  <c r="G12" i="11"/>
  <c r="G9" i="11"/>
  <c r="G8" i="11"/>
  <c r="G7" i="11"/>
  <c r="G6" i="11"/>
  <c r="C4" i="10" s="1"/>
  <c r="H77" i="1"/>
  <c r="I77" i="1"/>
  <c r="G75" i="1"/>
  <c r="M75" i="1" s="1"/>
  <c r="G74" i="1"/>
  <c r="M74" i="1" s="1"/>
  <c r="G73" i="1"/>
  <c r="M73" i="1" s="1"/>
  <c r="G72" i="1"/>
  <c r="M71" i="1"/>
  <c r="G69" i="1"/>
  <c r="M69" i="1" s="1"/>
  <c r="G68" i="1"/>
  <c r="M68" i="1" s="1"/>
  <c r="G67" i="1"/>
  <c r="M67" i="1" s="1"/>
  <c r="G66" i="1"/>
  <c r="G63" i="1"/>
  <c r="M63" i="1" s="1"/>
  <c r="G62" i="1"/>
  <c r="M62" i="1" s="1"/>
  <c r="G61" i="1"/>
  <c r="M61" i="1" s="1"/>
  <c r="G60" i="1"/>
  <c r="M59" i="1"/>
  <c r="G57" i="1"/>
  <c r="M57" i="1" s="1"/>
  <c r="G56" i="1"/>
  <c r="M56" i="1" s="1"/>
  <c r="G55" i="1"/>
  <c r="M55" i="1" s="1"/>
  <c r="G54" i="1"/>
  <c r="M53" i="1"/>
  <c r="G51" i="1"/>
  <c r="M51" i="1" s="1"/>
  <c r="G50" i="1"/>
  <c r="M50" i="1" s="1"/>
  <c r="G49" i="1"/>
  <c r="M49" i="1" s="1"/>
  <c r="G48" i="1"/>
  <c r="M47" i="1"/>
  <c r="G45" i="1"/>
  <c r="M45" i="1" s="1"/>
  <c r="G44" i="1"/>
  <c r="M44" i="1" s="1"/>
  <c r="G43" i="1"/>
  <c r="M43" i="1" s="1"/>
  <c r="G42" i="1"/>
  <c r="M41" i="1"/>
  <c r="G39" i="1"/>
  <c r="M39" i="1" s="1"/>
  <c r="G38" i="1"/>
  <c r="M38" i="1" s="1"/>
  <c r="G37" i="1"/>
  <c r="M37" i="1" s="1"/>
  <c r="G36" i="1"/>
  <c r="M35" i="1"/>
  <c r="G33" i="1"/>
  <c r="M33" i="1" s="1"/>
  <c r="G32" i="1"/>
  <c r="M32" i="1" s="1"/>
  <c r="G31" i="1"/>
  <c r="M31" i="1" s="1"/>
  <c r="G30" i="1"/>
  <c r="M29" i="1"/>
  <c r="G27" i="1"/>
  <c r="M27" i="1" s="1"/>
  <c r="G26" i="1"/>
  <c r="M26" i="1" s="1"/>
  <c r="G25" i="1"/>
  <c r="M25" i="1" s="1"/>
  <c r="G24" i="1"/>
  <c r="M23" i="1"/>
  <c r="G20" i="1"/>
  <c r="M20" i="1" s="1"/>
  <c r="G19" i="1"/>
  <c r="M19" i="1" s="1"/>
  <c r="G18" i="1"/>
  <c r="M17" i="1"/>
  <c r="G15" i="1"/>
  <c r="M15" i="1" s="1"/>
  <c r="G14" i="1"/>
  <c r="M14" i="1" s="1"/>
  <c r="G13" i="1"/>
  <c r="M13" i="1" s="1"/>
  <c r="G12" i="1"/>
  <c r="M11" i="1"/>
  <c r="G9" i="1"/>
  <c r="M9" i="1" s="1"/>
  <c r="G8" i="1"/>
  <c r="M8" i="1" s="1"/>
  <c r="G7" i="1"/>
  <c r="M7" i="1" s="1"/>
  <c r="G6" i="1"/>
  <c r="A1" i="10"/>
  <c r="O39" i="1" l="1"/>
  <c r="O26" i="1"/>
  <c r="O55" i="1"/>
  <c r="O69" i="1"/>
  <c r="N69" i="1" s="1"/>
  <c r="O27" i="1"/>
  <c r="O57" i="1"/>
  <c r="O25" i="1"/>
  <c r="O14" i="1"/>
  <c r="O68" i="1"/>
  <c r="N68" i="1" s="1"/>
  <c r="O43" i="1"/>
  <c r="O15" i="1"/>
  <c r="O45" i="1"/>
  <c r="O32" i="1"/>
  <c r="O61" i="1"/>
  <c r="N61" i="1" s="1"/>
  <c r="O62" i="1"/>
  <c r="N62" i="1"/>
  <c r="O9" i="1"/>
  <c r="O13" i="1"/>
  <c r="O49" i="1"/>
  <c r="O63" i="1"/>
  <c r="N63" i="1" s="1"/>
  <c r="O56" i="1"/>
  <c r="O44" i="1"/>
  <c r="O31" i="1"/>
  <c r="O33" i="1"/>
  <c r="O19" i="1"/>
  <c r="O20" i="1"/>
  <c r="O50" i="1"/>
  <c r="O7" i="1"/>
  <c r="O37" i="1"/>
  <c r="O51" i="1"/>
  <c r="O8" i="1"/>
  <c r="O38" i="1"/>
  <c r="O67" i="1"/>
  <c r="N67" i="1" s="1"/>
  <c r="M56" i="11"/>
  <c r="O56" i="11"/>
  <c r="M13" i="11"/>
  <c r="O13" i="11" s="1"/>
  <c r="N13" i="11" s="1"/>
  <c r="M14" i="11"/>
  <c r="O14" i="11" s="1"/>
  <c r="N14" i="11" s="1"/>
  <c r="M31" i="11"/>
  <c r="O31" i="11" s="1"/>
  <c r="M45" i="11"/>
  <c r="O45" i="11" s="1"/>
  <c r="N45" i="11" s="1"/>
  <c r="M60" i="11"/>
  <c r="O60" i="11" s="1"/>
  <c r="N60" i="11" s="1"/>
  <c r="M33" i="11"/>
  <c r="O33" i="11" s="1"/>
  <c r="N33" i="11" s="1"/>
  <c r="M48" i="11"/>
  <c r="O48" i="11"/>
  <c r="M62" i="11"/>
  <c r="O62" i="11" s="1"/>
  <c r="N62" i="11" s="1"/>
  <c r="M7" i="11"/>
  <c r="O7" i="11"/>
  <c r="N7" i="11" s="1"/>
  <c r="M37" i="11"/>
  <c r="O37" i="11" s="1"/>
  <c r="N37" i="11" s="1"/>
  <c r="M51" i="11"/>
  <c r="O51" i="11" s="1"/>
  <c r="N51" i="11" s="1"/>
  <c r="M66" i="11"/>
  <c r="O66" i="11"/>
  <c r="M8" i="11"/>
  <c r="O8" i="11" s="1"/>
  <c r="N8" i="11" s="1"/>
  <c r="M24" i="11"/>
  <c r="O24" i="11" s="1"/>
  <c r="N24" i="11" s="1"/>
  <c r="M38" i="11"/>
  <c r="O38" i="11"/>
  <c r="M67" i="11"/>
  <c r="O67" i="11" s="1"/>
  <c r="N67" i="11" s="1"/>
  <c r="M9" i="11"/>
  <c r="O9" i="11" s="1"/>
  <c r="M25" i="11"/>
  <c r="O25" i="11"/>
  <c r="N25" i="11" s="1"/>
  <c r="M39" i="11"/>
  <c r="O39" i="11"/>
  <c r="M54" i="11"/>
  <c r="O54" i="11" s="1"/>
  <c r="N54" i="11" s="1"/>
  <c r="M68" i="11"/>
  <c r="O68" i="11"/>
  <c r="N68" i="11" s="1"/>
  <c r="M27" i="11"/>
  <c r="O27" i="11" s="1"/>
  <c r="N27" i="11" s="1"/>
  <c r="M26" i="11"/>
  <c r="O26" i="11" s="1"/>
  <c r="N26" i="11" s="1"/>
  <c r="M55" i="11"/>
  <c r="O55" i="11"/>
  <c r="N55" i="11" s="1"/>
  <c r="M69" i="11"/>
  <c r="O69" i="11"/>
  <c r="N69" i="11" s="1"/>
  <c r="M12" i="11"/>
  <c r="O12" i="11" s="1"/>
  <c r="N12" i="11" s="1"/>
  <c r="M42" i="11"/>
  <c r="O42" i="11" s="1"/>
  <c r="N42" i="11" s="1"/>
  <c r="M43" i="11"/>
  <c r="O43" i="11" s="1"/>
  <c r="N43" i="11" s="1"/>
  <c r="M57" i="11"/>
  <c r="O57" i="11" s="1"/>
  <c r="M30" i="11"/>
  <c r="O30" i="11"/>
  <c r="M44" i="11"/>
  <c r="O44" i="11"/>
  <c r="N44" i="11" s="1"/>
  <c r="M15" i="11"/>
  <c r="O15" i="11" s="1"/>
  <c r="N15" i="11" s="1"/>
  <c r="M32" i="11"/>
  <c r="O32" i="11" s="1"/>
  <c r="N32" i="11" s="1"/>
  <c r="M61" i="11"/>
  <c r="O61" i="11" s="1"/>
  <c r="N61" i="11" s="1"/>
  <c r="M18" i="11"/>
  <c r="O18" i="11" s="1"/>
  <c r="N18" i="11" s="1"/>
  <c r="M19" i="11"/>
  <c r="O19" i="11" s="1"/>
  <c r="M49" i="11"/>
  <c r="O49" i="11"/>
  <c r="M63" i="11"/>
  <c r="O63" i="11" s="1"/>
  <c r="N63" i="11" s="1"/>
  <c r="M20" i="11"/>
  <c r="O20" i="11" s="1"/>
  <c r="M36" i="11"/>
  <c r="O36" i="11" s="1"/>
  <c r="N36" i="11" s="1"/>
  <c r="M50" i="11"/>
  <c r="O50" i="11" s="1"/>
  <c r="N50" i="11" s="1"/>
  <c r="M17" i="11"/>
  <c r="C6" i="10"/>
  <c r="M65" i="11"/>
  <c r="C14" i="10"/>
  <c r="M23" i="11"/>
  <c r="C7" i="10"/>
  <c r="M53" i="11"/>
  <c r="C12" i="10"/>
  <c r="C5" i="10"/>
  <c r="M41" i="11"/>
  <c r="C10" i="10"/>
  <c r="M71" i="11"/>
  <c r="C15" i="10"/>
  <c r="M29" i="11"/>
  <c r="C8" i="10"/>
  <c r="M59" i="11"/>
  <c r="C13" i="10"/>
  <c r="M47" i="11"/>
  <c r="C11" i="10"/>
  <c r="M35" i="11"/>
  <c r="C9" i="10"/>
  <c r="M6" i="11"/>
  <c r="O6" i="11" s="1"/>
  <c r="M6" i="1"/>
  <c r="B4" i="10"/>
  <c r="M36" i="1"/>
  <c r="B9" i="10"/>
  <c r="M72" i="1"/>
  <c r="B15" i="10"/>
  <c r="M30" i="1"/>
  <c r="B8" i="10"/>
  <c r="M54" i="1"/>
  <c r="B12" i="10"/>
  <c r="M42" i="1"/>
  <c r="B10" i="10"/>
  <c r="M60" i="1"/>
  <c r="B13" i="10"/>
  <c r="M66" i="1"/>
  <c r="B14" i="10"/>
  <c r="M24" i="1"/>
  <c r="B7" i="10"/>
  <c r="M12" i="1"/>
  <c r="B5" i="10"/>
  <c r="M18" i="1"/>
  <c r="B6" i="10"/>
  <c r="M48" i="1"/>
  <c r="B11" i="10"/>
  <c r="G77" i="11"/>
  <c r="E79" i="11" s="1"/>
  <c r="L77" i="1"/>
  <c r="K77" i="1"/>
  <c r="J77" i="1"/>
  <c r="C17" i="10" l="1"/>
  <c r="E11" i="10"/>
  <c r="B17" i="10"/>
  <c r="E6" i="10"/>
  <c r="E12" i="10"/>
  <c r="E8" i="10"/>
  <c r="E9" i="10"/>
  <c r="E7" i="10"/>
  <c r="E5" i="10"/>
  <c r="E14" i="10"/>
  <c r="E13" i="10"/>
  <c r="E10" i="10"/>
  <c r="E4" i="10"/>
  <c r="E15" i="10"/>
  <c r="O48" i="1"/>
  <c r="O42" i="1"/>
  <c r="O6" i="1"/>
  <c r="O18" i="1"/>
  <c r="O54" i="1"/>
  <c r="O60" i="1"/>
  <c r="N60" i="1" s="1"/>
  <c r="O12" i="1"/>
  <c r="O30" i="1"/>
  <c r="O24" i="1"/>
  <c r="O66" i="1"/>
  <c r="N66" i="1" s="1"/>
  <c r="O36" i="1"/>
  <c r="N6" i="11"/>
  <c r="O77" i="11"/>
  <c r="N57" i="11"/>
  <c r="N9" i="11"/>
  <c r="N38" i="11"/>
  <c r="N31" i="11"/>
  <c r="N20" i="11"/>
  <c r="N49" i="11"/>
  <c r="N39" i="11"/>
  <c r="N48" i="11"/>
  <c r="N19" i="11"/>
  <c r="N30" i="11"/>
  <c r="N66" i="11"/>
  <c r="N56" i="11"/>
  <c r="M77" i="11"/>
  <c r="E17" i="10" l="1"/>
  <c r="O77" i="1"/>
  <c r="N77" i="1"/>
  <c r="N77" i="11"/>
  <c r="O79" i="11" s="1"/>
  <c r="G77" i="1" l="1"/>
  <c r="E79" i="1" s="1"/>
  <c r="M77" i="1" l="1"/>
  <c r="O79" i="1" s="1"/>
</calcChain>
</file>

<file path=xl/sharedStrings.xml><?xml version="1.0" encoding="utf-8"?>
<sst xmlns="http://schemas.openxmlformats.org/spreadsheetml/2006/main" count="317" uniqueCount="89">
  <si>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</si>
  <si>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</si>
  <si>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</si>
  <si>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</si>
  <si>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</si>
  <si>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</si>
  <si>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</si>
  <si>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</si>
  <si>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</si>
  <si>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</si>
  <si>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</si>
  <si>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</si>
  <si>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</si>
  <si>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N</t>
  </si>
  <si>
    <t>C</t>
  </si>
  <si>
    <t>RECARGOS</t>
  </si>
  <si>
    <t>INSTITUCIÓN BANCARIA</t>
  </si>
  <si>
    <t>No. DE OPERACIÓN BANCO</t>
  </si>
  <si>
    <t>TIPO</t>
  </si>
  <si>
    <t>MES</t>
  </si>
  <si>
    <t>FECHA DE PAGO EN BANCO</t>
  </si>
  <si>
    <t>TIPOS DE DECLARACIÓN</t>
  </si>
  <si>
    <t>NORMAL</t>
  </si>
  <si>
    <t>COMPLEMENTARIA</t>
  </si>
  <si>
    <t>TIPOS DE COMPLEMENTARIAS NUEVO ESQUEMA.</t>
  </si>
  <si>
    <t>SO</t>
  </si>
  <si>
    <t>DEJAR SIN EFECTO OBLIGACION</t>
  </si>
  <si>
    <t>MO</t>
  </si>
  <si>
    <t>MODIFICACION DE OBLIGACIONES</t>
  </si>
  <si>
    <t>NP</t>
  </si>
  <si>
    <t>OBLIGACION NO PRESENTADA</t>
  </si>
  <si>
    <t>Tipo de declaración</t>
  </si>
  <si>
    <t>Normal</t>
  </si>
  <si>
    <t>Complementaria</t>
  </si>
  <si>
    <t>Complementaria Dictamen</t>
  </si>
  <si>
    <t>Complementaria Esquema Anterior</t>
  </si>
  <si>
    <t>Normal por Correción Fiscal</t>
  </si>
  <si>
    <t>Complementaria Correción Fiscal</t>
  </si>
  <si>
    <t>Dejar Sin Efecto Obligación</t>
  </si>
  <si>
    <t>Modificación de Obligaciones</t>
  </si>
  <si>
    <t>Obligación no presentada</t>
  </si>
  <si>
    <t>Esquema anterior</t>
  </si>
  <si>
    <t>t_Complementaria</t>
  </si>
  <si>
    <t>t_TipoDeclaración</t>
  </si>
  <si>
    <t>t_Normal</t>
  </si>
  <si>
    <t xml:space="preserve"> </t>
  </si>
  <si>
    <t>ACTUALIZACIONES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</si>
  <si>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</si>
  <si>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</si>
  <si>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</si>
  <si>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</si>
  <si>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</si>
  <si>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</si>
  <si>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</si>
  <si>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</si>
  <si>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</si>
  <si>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</si>
  <si>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</si>
  <si>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</si>
  <si>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TIPO2</t>
  </si>
  <si>
    <t>DIOT</t>
  </si>
  <si>
    <t>TOTAL DE REMUNERACONES</t>
  </si>
  <si>
    <t>TASA</t>
  </si>
  <si>
    <t>ESTADO</t>
  </si>
  <si>
    <t>IMPUESTO CAUSADO</t>
  </si>
  <si>
    <t>RETENCIONES ISN</t>
  </si>
  <si>
    <t>ISN A FAVOR</t>
  </si>
  <si>
    <t>GASTOS DE EJECUCIÓN</t>
  </si>
  <si>
    <t>FOLIO</t>
  </si>
  <si>
    <t>REFERENCIA PAGO:</t>
  </si>
  <si>
    <t>ISN</t>
  </si>
  <si>
    <t>NUMERO DE COLABORADORES</t>
  </si>
  <si>
    <t>BASE</t>
  </si>
  <si>
    <t>FECHA DE PRESENTACIÓN</t>
  </si>
  <si>
    <t>Dictamen Auditoría</t>
  </si>
  <si>
    <t>ISH</t>
  </si>
  <si>
    <t>CANTIDAD A PAGAR</t>
  </si>
  <si>
    <t>CANTIDAD PAGADA</t>
  </si>
  <si>
    <t>CANTIDAD A FAVOR</t>
  </si>
  <si>
    <t>RETENCIONES ISH</t>
  </si>
  <si>
    <t>ISH A FAVOR</t>
  </si>
  <si>
    <t>FACTURADO</t>
  </si>
  <si>
    <t>UUID</t>
  </si>
  <si>
    <t>TOTAL FACTURADO</t>
  </si>
  <si>
    <t>RET ISN</t>
  </si>
  <si>
    <t>Voucheo de Impuesto Sobre Nóminas 2026</t>
  </si>
  <si>
    <t>Voucheo de Retención del Impuesto Sobre Nóminas 2026</t>
  </si>
  <si>
    <t>Voucheo de Impuesto Sobre Hospedaje 2026</t>
  </si>
  <si>
    <t>RESUMEN DE IMPUESTOS ESTATALES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</si>
</sst>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€-2]* #,##0.00_-;\-[$€-2]* #,##0.00_-;_-[$€-2]* &quot;-&quot;??_-"/>
    <numFmt numFmtId="165" formatCode="&quot;$&quot;#,##0_);[Red]\(&quot;$&quot;#,##0\)"/>
    <numFmt numFmtId="166" formatCode="_(* #,##0.00_);_(* \(#,##0.00\);_(* &quot;-&quot;??_);_(@_)"/>
    <numFmt numFmtId="167" formatCode="_(* #,##0_);_(* \(#,##0\);_(* &quot;-&quot;??_);_(@_)"/>
    <numFmt numFmtId="168" formatCode="#,##0;\(#,##0\);&quot;-&quot;"/>
    <numFmt numFmtId="169" formatCode="_-&quot;$&quot;* #,##0_-;\-&quot;$&quot;* #,##0_-;_-&quot;$&quot;* &quot;-&quot;??_-;_-@_-"/>
    <numFmt numFmtId="170" formatCode="&quot;$&quot;#,##0;\(&quot;$&quot;#,##0\);&quot;-&quot;"/>
    <numFmt numFmtId="171" formatCode="&quot;$&quot;#,##0;[Red]\(&quot;$&quot;#,##0\);&quot;-&quot;"/>
    <numFmt numFmtId="172" formatCode="#,##0;[Red]\(#,##0\);&quot;-&quot;"/>
  </numFmts>
  <fonts count="4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1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u/>
      <sz val="10"/>
      <color indexed="12"/>
      <name val="匠牥晩††††††††††"/>
    </font>
    <font>
      <sz val="11"/>
      <color indexed="20"/>
      <name val="Calibri"/>
      <family val="2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b/>
      <u/>
      <sz val="8"/>
      <color theme="3" tint="-0.499984740745262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b/>
      <sz val="8"/>
      <color rgb="FFFF0000"/>
      <name val="Verdana"/>
      <family val="2"/>
    </font>
    <font>
      <b/>
      <sz val="8"/>
      <color theme="0"/>
      <name val="Century Gothic"/>
      <family val="2"/>
    </font>
    <font>
      <b/>
      <sz val="8"/>
      <color theme="1"/>
      <name val="Century Gothic"/>
      <family val="2"/>
    </font>
    <font>
      <sz val="8"/>
      <name val="Century Gothic"/>
      <family val="2"/>
    </font>
    <font>
      <b/>
      <sz val="8"/>
      <name val="Century Gothic"/>
      <family val="2"/>
    </font>
    <font>
      <b/>
      <sz val="8"/>
      <color indexed="10"/>
      <name val="Century Gothic"/>
      <family val="2"/>
    </font>
    <font>
      <b/>
      <u/>
      <sz val="8"/>
      <name val="Century Gothic"/>
      <family val="2"/>
    </font>
    <font>
      <b/>
      <sz val="8"/>
      <color rgb="FFFF0000"/>
      <name val="Century Gothic"/>
      <family val="2"/>
    </font>
    <font>
      <sz val="8"/>
      <name val="Arial"/>
      <family val="2"/>
    </font>
    <font>
      <b/>
      <u/>
      <sz val="8"/>
      <color theme="3" tint="-0.499984740745262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Verdana"/>
      <family val="2"/>
    </font>
    <font>
      <b/>
      <u/>
      <sz val="9"/>
      <color theme="1"/>
      <name val="Verdana"/>
      <family val="2"/>
    </font>
    <font>
      <b/>
      <u/>
      <sz val="9"/>
      <color theme="1"/>
      <name val="Century Gothic"/>
      <family val="2"/>
    </font>
  </fonts>
  <fills count="27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002060"/>
        <bgColor rgb="FF002060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double">
        <color theme="4"/>
      </top>
      <bottom/>
      <diagonal/>
    </border>
  </borders>
  <cellStyleXfs count="449">
    <xf numFmtId="0" fontId="0" fillId="0" borderId="0"/>
    <xf numFmtId="38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3" fontId="8" fillId="0" borderId="0" applyNumberFormat="0" applyFont="0" applyBorder="0" applyAlignment="0"/>
    <xf numFmtId="0" fontId="4" fillId="0" borderId="0"/>
    <xf numFmtId="0" fontId="4" fillId="0" borderId="0" applyNumberFormat="0" applyFont="0" applyFill="0" applyBorder="0" applyAlignment="0" applyProtection="0">
      <alignment horizontal="left"/>
    </xf>
    <xf numFmtId="15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7" fillId="0" borderId="1">
      <alignment horizontal="center"/>
    </xf>
    <xf numFmtId="3" fontId="4" fillId="0" borderId="0" applyFont="0" applyFill="0" applyBorder="0" applyAlignment="0" applyProtection="0"/>
    <xf numFmtId="0" fontId="4" fillId="5" borderId="0" applyNumberFormat="0" applyFont="0" applyBorder="0" applyAlignment="0" applyProtection="0"/>
    <xf numFmtId="3" fontId="8" fillId="0" borderId="0" applyNumberFormat="0" applyFont="0" applyFill="0" applyAlignment="0"/>
    <xf numFmtId="0" fontId="6" fillId="0" borderId="0" applyNumberFormat="0" applyBorder="0" applyAlignment="0"/>
    <xf numFmtId="0" fontId="9" fillId="0" borderId="0" applyNumberFormat="0" applyBorder="0" applyAlignment="0"/>
    <xf numFmtId="0" fontId="10" fillId="4" borderId="0" applyNumberFormat="0" applyBorder="0" applyAlignment="0"/>
    <xf numFmtId="0" fontId="11" fillId="2" borderId="0" applyNumberFormat="0" applyBorder="0" applyAlignment="0"/>
    <xf numFmtId="0" fontId="11" fillId="3" borderId="0" applyNumberFormat="0" applyBorder="0" applyAlignment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38" fontId="3" fillId="0" borderId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4" fillId="2" borderId="0" applyNumberFormat="0" applyBorder="0" applyAlignment="0" applyProtection="0"/>
    <xf numFmtId="0" fontId="15" fillId="19" borderId="4" applyNumberFormat="0" applyAlignment="0" applyProtection="0"/>
    <xf numFmtId="0" fontId="16" fillId="20" borderId="5" applyNumberFormat="0" applyAlignment="0" applyProtection="0"/>
    <xf numFmtId="0" fontId="17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4" borderId="0" applyNumberFormat="0" applyBorder="0" applyAlignment="0" applyProtection="0"/>
    <xf numFmtId="0" fontId="19" fillId="10" borderId="4" applyNumberFormat="0" applyAlignment="0" applyProtection="0"/>
    <xf numFmtId="164" fontId="3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21" fillId="7" borderId="0" applyNumberFormat="0" applyBorder="0" applyAlignment="0" applyProtection="0"/>
    <xf numFmtId="166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3" fillId="0" borderId="0"/>
    <xf numFmtId="0" fontId="22" fillId="0" borderId="0"/>
    <xf numFmtId="0" fontId="22" fillId="0" borderId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4" fillId="19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18" fillId="0" borderId="11" applyNumberFormat="0" applyFill="0" applyAlignment="0" applyProtection="0"/>
    <xf numFmtId="0" fontId="29" fillId="0" borderId="0" applyNumberFormat="0" applyFill="0" applyBorder="0" applyAlignment="0" applyProtection="0"/>
    <xf numFmtId="0" fontId="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43" fontId="30" fillId="0" borderId="0" applyFont="0" applyFill="0" applyBorder="0" applyAlignment="0" applyProtection="0"/>
    <xf numFmtId="6" fontId="4" fillId="0" borderId="0" applyFont="0" applyFill="0" applyBorder="0" applyAlignment="0" applyProtection="0"/>
    <xf numFmtId="3" fontId="3" fillId="0" borderId="0" applyNumberFormat="0" applyFont="0" applyBorder="0" applyAlignment="0"/>
    <xf numFmtId="3" fontId="3" fillId="0" borderId="0" applyNumberFormat="0" applyFont="0" applyFill="0" applyAlignment="0"/>
    <xf numFmtId="0" fontId="5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6" fontId="4" fillId="0" borderId="0" applyFont="0" applyFill="0" applyBorder="0" applyAlignment="0" applyProtection="0"/>
  </cellStyleXfs>
  <cellXfs count="75">
    <xf numFmtId="0" fontId="0" fillId="0" borderId="0" xfId="0"/>
    <xf numFmtId="0" fontId="32" fillId="0" borderId="0" xfId="7" applyFont="1"/>
    <xf numFmtId="14" fontId="32" fillId="0" borderId="0" xfId="7" applyNumberFormat="1" applyFont="1"/>
    <xf numFmtId="0" fontId="34" fillId="0" borderId="0" xfId="7" applyFont="1" applyAlignment="1">
      <alignment horizontal="center" vertical="center"/>
    </xf>
    <xf numFmtId="14" fontId="33" fillId="0" borderId="0" xfId="7" applyNumberFormat="1" applyFont="1"/>
    <xf numFmtId="0" fontId="33" fillId="0" borderId="0" xfId="7" applyFont="1"/>
    <xf numFmtId="0" fontId="3" fillId="0" borderId="0" xfId="0" applyFont="1"/>
    <xf numFmtId="0" fontId="3" fillId="0" borderId="0" xfId="0" applyFont="1" applyAlignment="1">
      <alignment horizontal="center"/>
    </xf>
    <xf numFmtId="44" fontId="33" fillId="0" borderId="0" xfId="7" applyNumberFormat="1" applyFont="1" applyAlignment="1">
      <alignment horizontal="center" vertical="center" wrapText="1"/>
    </xf>
    <xf numFmtId="169" fontId="35" fillId="25" borderId="13" xfId="0" applyNumberFormat="1" applyFont="1" applyFill="1" applyBorder="1" applyAlignment="1">
      <alignment horizontal="center" vertical="center" wrapText="1"/>
    </xf>
    <xf numFmtId="169" fontId="35" fillId="25" borderId="14" xfId="0" applyNumberFormat="1" applyFont="1" applyFill="1" applyBorder="1" applyAlignment="1">
      <alignment horizontal="center" vertical="center" wrapText="1"/>
    </xf>
    <xf numFmtId="0" fontId="37" fillId="0" borderId="0" xfId="7" applyFont="1"/>
    <xf numFmtId="0" fontId="37" fillId="0" borderId="0" xfId="7" applyFont="1" applyAlignment="1">
      <alignment horizontal="center"/>
    </xf>
    <xf numFmtId="0" fontId="37" fillId="0" borderId="0" xfId="0" applyFont="1"/>
    <xf numFmtId="14" fontId="37" fillId="0" borderId="0" xfId="7" applyNumberFormat="1" applyFont="1"/>
    <xf numFmtId="0" fontId="41" fillId="0" borderId="0" xfId="7" applyFont="1" applyAlignment="1">
      <alignment horizontal="center" vertical="center"/>
    </xf>
    <xf numFmtId="14" fontId="38" fillId="0" borderId="0" xfId="7" applyNumberFormat="1" applyFont="1"/>
    <xf numFmtId="171" fontId="37" fillId="0" borderId="0" xfId="7" applyNumberFormat="1" applyFont="1"/>
    <xf numFmtId="171" fontId="39" fillId="0" borderId="0" xfId="20" applyNumberFormat="1" applyFont="1" applyAlignment="1">
      <alignment horizontal="right" vertical="center"/>
    </xf>
    <xf numFmtId="0" fontId="38" fillId="0" borderId="0" xfId="7" applyFont="1"/>
    <xf numFmtId="0" fontId="37" fillId="0" borderId="0" xfId="7" applyFont="1" applyAlignment="1">
      <alignment horizontal="center" vertical="center"/>
    </xf>
    <xf numFmtId="0" fontId="37" fillId="0" borderId="0" xfId="7" applyFont="1" applyAlignment="1">
      <alignment vertical="center"/>
    </xf>
    <xf numFmtId="171" fontId="37" fillId="0" borderId="0" xfId="415" applyNumberFormat="1" applyFont="1" applyAlignment="1">
      <alignment vertical="center"/>
    </xf>
    <xf numFmtId="171" fontId="38" fillId="0" borderId="0" xfId="415" applyNumberFormat="1" applyFont="1" applyAlignment="1">
      <alignment vertical="center"/>
    </xf>
    <xf numFmtId="168" fontId="38" fillId="0" borderId="0" xfId="415" applyNumberFormat="1" applyFont="1" applyFill="1" applyBorder="1" applyAlignment="1">
      <alignment vertical="center"/>
    </xf>
    <xf numFmtId="0" fontId="38" fillId="0" borderId="0" xfId="7" applyFont="1" applyAlignment="1">
      <alignment vertical="center"/>
    </xf>
    <xf numFmtId="0" fontId="38" fillId="0" borderId="0" xfId="7" applyFont="1" applyAlignment="1">
      <alignment horizontal="center" vertical="center"/>
    </xf>
    <xf numFmtId="170" fontId="36" fillId="26" borderId="15" xfId="0" applyNumberFormat="1" applyFont="1" applyFill="1" applyBorder="1" applyAlignment="1">
      <alignment vertical="center"/>
    </xf>
    <xf numFmtId="171" fontId="36" fillId="26" borderId="15" xfId="0" applyNumberFormat="1" applyFont="1" applyFill="1" applyBorder="1" applyAlignment="1">
      <alignment vertical="center"/>
    </xf>
    <xf numFmtId="14" fontId="38" fillId="0" borderId="0" xfId="7" applyNumberFormat="1" applyFont="1" applyAlignment="1">
      <alignment vertical="center"/>
    </xf>
    <xf numFmtId="171" fontId="37" fillId="0" borderId="0" xfId="7" applyNumberFormat="1" applyFont="1" applyAlignment="1">
      <alignment vertical="center"/>
    </xf>
    <xf numFmtId="171" fontId="41" fillId="0" borderId="0" xfId="7" applyNumberFormat="1" applyFont="1" applyAlignment="1">
      <alignment horizontal="center" vertical="center"/>
    </xf>
    <xf numFmtId="171" fontId="38" fillId="0" borderId="0" xfId="7" applyNumberFormat="1" applyFont="1" applyAlignment="1">
      <alignment vertical="center"/>
    </xf>
    <xf numFmtId="167" fontId="38" fillId="0" borderId="0" xfId="20" applyNumberFormat="1" applyFont="1" applyAlignment="1">
      <alignment horizontal="left" vertical="center"/>
    </xf>
    <xf numFmtId="167" fontId="37" fillId="0" borderId="0" xfId="20" applyNumberFormat="1" applyFont="1" applyAlignment="1">
      <alignment vertical="center"/>
    </xf>
    <xf numFmtId="167" fontId="38" fillId="0" borderId="0" xfId="20" applyNumberFormat="1" applyFont="1" applyAlignment="1">
      <alignment horizontal="center" vertical="center"/>
    </xf>
    <xf numFmtId="0" fontId="38" fillId="0" borderId="0" xfId="0" applyFont="1" applyAlignment="1">
      <alignment vertical="center"/>
    </xf>
    <xf numFmtId="167" fontId="38" fillId="0" borderId="0" xfId="20" applyNumberFormat="1" applyFont="1" applyAlignment="1">
      <alignment vertical="center"/>
    </xf>
    <xf numFmtId="171" fontId="37" fillId="0" borderId="0" xfId="0" applyNumberFormat="1" applyFont="1" applyAlignment="1">
      <alignment vertical="center"/>
    </xf>
    <xf numFmtId="4" fontId="37" fillId="0" borderId="0" xfId="7" applyNumberFormat="1" applyFont="1" applyAlignment="1">
      <alignment vertical="center"/>
    </xf>
    <xf numFmtId="4" fontId="38" fillId="0" borderId="0" xfId="7" applyNumberFormat="1" applyFont="1" applyAlignment="1">
      <alignment vertical="center"/>
    </xf>
    <xf numFmtId="14" fontId="38" fillId="0" borderId="0" xfId="7" applyNumberFormat="1" applyFont="1" applyAlignment="1">
      <alignment horizontal="center" vertical="center"/>
    </xf>
    <xf numFmtId="49" fontId="38" fillId="0" borderId="0" xfId="7" quotePrefix="1" applyNumberFormat="1" applyFont="1" applyAlignment="1">
      <alignment horizontal="center" vertical="center"/>
    </xf>
    <xf numFmtId="49" fontId="38" fillId="0" borderId="0" xfId="7" applyNumberFormat="1" applyFont="1" applyAlignment="1">
      <alignment horizontal="center" vertical="center"/>
    </xf>
    <xf numFmtId="0" fontId="38" fillId="0" borderId="0" xfId="7" quotePrefix="1" applyFont="1" applyAlignment="1">
      <alignment horizontal="center" vertical="center"/>
    </xf>
    <xf numFmtId="14" fontId="38" fillId="0" borderId="0" xfId="7" quotePrefix="1" applyNumberFormat="1" applyFont="1" applyAlignment="1">
      <alignment horizontal="center" vertical="center"/>
    </xf>
    <xf numFmtId="0" fontId="40" fillId="0" borderId="0" xfId="0" applyFont="1" applyAlignment="1">
      <alignment horizontal="centerContinuous"/>
    </xf>
    <xf numFmtId="171" fontId="36" fillId="26" borderId="15" xfId="0" applyNumberFormat="1" applyFont="1" applyFill="1" applyBorder="1" applyAlignment="1">
      <alignment horizontal="center" vertical="center"/>
    </xf>
    <xf numFmtId="0" fontId="45" fillId="0" borderId="0" xfId="7" applyFont="1"/>
    <xf numFmtId="171" fontId="37" fillId="0" borderId="2" xfId="77" applyNumberFormat="1" applyFont="1" applyBorder="1" applyAlignment="1">
      <alignment horizontal="center"/>
    </xf>
    <xf numFmtId="171" fontId="40" fillId="0" borderId="0" xfId="7" applyNumberFormat="1" applyFont="1" applyAlignment="1">
      <alignment vertical="center"/>
    </xf>
    <xf numFmtId="171" fontId="38" fillId="0" borderId="0" xfId="7" applyNumberFormat="1" applyFont="1" applyAlignment="1">
      <alignment horizontal="right" vertical="center"/>
    </xf>
    <xf numFmtId="0" fontId="37" fillId="0" borderId="0" xfId="7" applyFont="1" applyAlignment="1">
      <alignment horizontal="centerContinuous"/>
    </xf>
    <xf numFmtId="0" fontId="37" fillId="0" borderId="2" xfId="77" applyFont="1" applyBorder="1"/>
    <xf numFmtId="169" fontId="44" fillId="0" borderId="13" xfId="0" applyNumberFormat="1" applyFont="1" applyBorder="1" applyAlignment="1">
      <alignment horizontal="centerContinuous" vertical="center"/>
    </xf>
    <xf numFmtId="0" fontId="47" fillId="0" borderId="0" xfId="0" applyFont="1"/>
    <xf numFmtId="169" fontId="44" fillId="0" borderId="13" xfId="0" applyNumberFormat="1" applyFont="1" applyBorder="1" applyAlignment="1">
      <alignment horizontal="centerContinuous" vertical="center" wrapText="1"/>
    </xf>
    <xf numFmtId="0" fontId="46" fillId="0" borderId="0" xfId="0" applyFont="1"/>
    <xf numFmtId="0" fontId="46" fillId="0" borderId="0" xfId="0" applyFont="1" applyAlignment="1">
      <alignment horizontal="centerContinuous"/>
    </xf>
    <xf numFmtId="171" fontId="38" fillId="0" borderId="3" xfId="77" applyNumberFormat="1" applyFont="1" applyBorder="1" applyAlignment="1">
      <alignment horizontal="center"/>
    </xf>
    <xf numFmtId="169" fontId="35" fillId="25" borderId="12" xfId="0" applyNumberFormat="1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0" borderId="0" xfId="7" applyFont="1" applyAlignment="1">
      <alignment vertical="center" wrapText="1"/>
    </xf>
    <xf numFmtId="171" fontId="37" fillId="0" borderId="0" xfId="415" applyNumberFormat="1" applyFont="1" applyAlignment="1">
      <alignment horizontal="center" vertical="center"/>
    </xf>
    <xf numFmtId="9" fontId="37" fillId="0" borderId="0" xfId="415" applyNumberFormat="1" applyFont="1" applyAlignment="1">
      <alignment horizontal="center" vertical="center"/>
    </xf>
    <xf numFmtId="171" fontId="37" fillId="0" borderId="0" xfId="415" applyNumberFormat="1" applyFont="1" applyAlignment="1">
      <alignment horizontal="left" vertical="center" indent="2"/>
    </xf>
    <xf numFmtId="0" fontId="35" fillId="25" borderId="14" xfId="0" applyFont="1" applyFill="1" applyBorder="1" applyAlignment="1">
      <alignment horizontal="center" vertical="center" wrapText="1"/>
    </xf>
    <xf numFmtId="172" fontId="38" fillId="0" borderId="0" xfId="415" applyNumberFormat="1" applyFont="1" applyAlignment="1">
      <alignment horizontal="center" vertical="center"/>
    </xf>
    <xf numFmtId="171" fontId="37" fillId="0" borderId="3" xfId="77" applyNumberFormat="1" applyFont="1" applyBorder="1" applyAlignment="1">
      <alignment horizontal="center"/>
    </xf>
    <xf numFmtId="9" fontId="36" fillId="26" borderId="15" xfId="0" applyNumberFormat="1" applyFont="1" applyFill="1" applyBorder="1" applyAlignment="1">
      <alignment horizontal="center" vertical="center"/>
    </xf>
    <xf numFmtId="0" fontId="41" fillId="0" borderId="0" xfId="7" applyFont="1" applyAlignment="1">
      <alignment horizontal="centerContinuous" vertical="center"/>
    </xf>
    <xf numFmtId="169" fontId="44" fillId="0" borderId="0" xfId="0" applyNumberFormat="1" applyFont="1" applyAlignment="1">
      <alignment horizontal="centerContinuous" vertical="center" wrapText="1"/>
    </xf>
    <xf numFmtId="171" fontId="41" fillId="0" borderId="0" xfId="415" applyNumberFormat="1" applyFont="1" applyAlignment="1">
      <alignment vertical="center"/>
    </xf>
    <xf numFmtId="172" fontId="36" fillId="26" borderId="15" xfId="0" applyNumberFormat="1" applyFont="1" applyFill="1" applyBorder="1" applyAlignment="1">
      <alignment horizontal="center" vertical="center"/>
    </xf>
  </cellXfs>
  <cellStyles count="449">
    <cellStyle name="20% - Énfasis1 2" xfId="25" xr:uid="{00000000-0005-0000-0000-000000000000}"/>
    <cellStyle name="20% - Énfasis2 2" xfId="26" xr:uid="{00000000-0005-0000-0000-000001000000}"/>
    <cellStyle name="20% - Énfasis3 2" xfId="27" xr:uid="{00000000-0005-0000-0000-000002000000}"/>
    <cellStyle name="20% - Énfasis4 2" xfId="28" xr:uid="{00000000-0005-0000-0000-000003000000}"/>
    <cellStyle name="20% - Énfasis5 2" xfId="29" xr:uid="{00000000-0005-0000-0000-000004000000}"/>
    <cellStyle name="20% - Énfasis6 2" xfId="30" xr:uid="{00000000-0005-0000-0000-000005000000}"/>
    <cellStyle name="40% - Énfasis1 2" xfId="31" xr:uid="{00000000-0005-0000-0000-000006000000}"/>
    <cellStyle name="40% - Énfasis2 2" xfId="32" xr:uid="{00000000-0005-0000-0000-000007000000}"/>
    <cellStyle name="40% - Énfasis3 2" xfId="33" xr:uid="{00000000-0005-0000-0000-000008000000}"/>
    <cellStyle name="40% - Énfasis4 2" xfId="34" xr:uid="{00000000-0005-0000-0000-000009000000}"/>
    <cellStyle name="40% - Énfasis5 2" xfId="35" xr:uid="{00000000-0005-0000-0000-00000A000000}"/>
    <cellStyle name="40% - Énfasis6 2" xfId="36" xr:uid="{00000000-0005-0000-0000-00000B000000}"/>
    <cellStyle name="60% - Énfasis1 2" xfId="37" xr:uid="{00000000-0005-0000-0000-00000C000000}"/>
    <cellStyle name="60% - Énfasis2 2" xfId="38" xr:uid="{00000000-0005-0000-0000-00000D000000}"/>
    <cellStyle name="60% - Énfasis3 2" xfId="39" xr:uid="{00000000-0005-0000-0000-00000E000000}"/>
    <cellStyle name="60% - Énfasis4 2" xfId="40" xr:uid="{00000000-0005-0000-0000-00000F000000}"/>
    <cellStyle name="60% - Énfasis5 2" xfId="41" xr:uid="{00000000-0005-0000-0000-000010000000}"/>
    <cellStyle name="60% - Énfasis6 2" xfId="42" xr:uid="{00000000-0005-0000-0000-000011000000}"/>
    <cellStyle name="Buena 2" xfId="43" xr:uid="{00000000-0005-0000-0000-000012000000}"/>
    <cellStyle name="Cálculo 2" xfId="44" xr:uid="{00000000-0005-0000-0000-000013000000}"/>
    <cellStyle name="Celda de comprobación 2" xfId="45" xr:uid="{00000000-0005-0000-0000-000014000000}"/>
    <cellStyle name="Celda vinculada 2" xfId="46" xr:uid="{00000000-0005-0000-0000-000015000000}"/>
    <cellStyle name="Comma [0]" xfId="1" xr:uid="{00000000-0005-0000-0000-000016000000}"/>
    <cellStyle name="Comma_CCF HR Playacar 2003" xfId="2" xr:uid="{00000000-0005-0000-0000-000017000000}"/>
    <cellStyle name="Currency [0]" xfId="3" xr:uid="{00000000-0005-0000-0000-000018000000}"/>
    <cellStyle name="Currency [0] 2" xfId="416" xr:uid="{00000000-0005-0000-0000-000019000000}"/>
    <cellStyle name="Currency [0] 2 2" xfId="448" xr:uid="{86F6EEC9-4669-450B-A7AB-465DAE786CEA}"/>
    <cellStyle name="Encabezado 4 2" xfId="47" xr:uid="{00000000-0005-0000-0000-00001A000000}"/>
    <cellStyle name="Énfasis1 2" xfId="48" xr:uid="{00000000-0005-0000-0000-00001B000000}"/>
    <cellStyle name="Énfasis2 2" xfId="49" xr:uid="{00000000-0005-0000-0000-00001C000000}"/>
    <cellStyle name="Énfasis3 2" xfId="50" xr:uid="{00000000-0005-0000-0000-00001D000000}"/>
    <cellStyle name="Énfasis4 2" xfId="51" xr:uid="{00000000-0005-0000-0000-00001E000000}"/>
    <cellStyle name="Énfasis5 2" xfId="52" xr:uid="{00000000-0005-0000-0000-00001F000000}"/>
    <cellStyle name="Énfasis6 2" xfId="53" xr:uid="{00000000-0005-0000-0000-000020000000}"/>
    <cellStyle name="Entrada 2" xfId="54" xr:uid="{00000000-0005-0000-0000-000021000000}"/>
    <cellStyle name="Euro" xfId="4" xr:uid="{00000000-0005-0000-0000-000022000000}"/>
    <cellStyle name="Euro 2" xfId="55" xr:uid="{00000000-0005-0000-0000-000023000000}"/>
    <cellStyle name="Hipervínculo 2" xfId="56" xr:uid="{00000000-0005-0000-0000-000024000000}"/>
    <cellStyle name="Hipervínculo 2 2" xfId="57" xr:uid="{00000000-0005-0000-0000-000025000000}"/>
    <cellStyle name="Hipervínculo 2 2 2" xfId="58" xr:uid="{00000000-0005-0000-0000-000026000000}"/>
    <cellStyle name="Hipervínculo 3" xfId="419" xr:uid="{00000000-0005-0000-0000-000027000000}"/>
    <cellStyle name="Hyperlink_Inflación" xfId="5" xr:uid="{00000000-0005-0000-0000-000028000000}"/>
    <cellStyle name="Incorrecto 2" xfId="59" xr:uid="{00000000-0005-0000-0000-000029000000}"/>
    <cellStyle name="L." xfId="6" xr:uid="{00000000-0005-0000-0000-00002A000000}"/>
    <cellStyle name="L. 2" xfId="417" xr:uid="{00000000-0005-0000-0000-00002B000000}"/>
    <cellStyle name="Millares" xfId="415" builtinId="3"/>
    <cellStyle name="Millares 10" xfId="447" xr:uid="{02621C67-75F9-4E09-88A2-4CC5DEB2923D}"/>
    <cellStyle name="Millares 2" xfId="60" xr:uid="{00000000-0005-0000-0000-00002D000000}"/>
    <cellStyle name="Millares 2 2" xfId="61" xr:uid="{00000000-0005-0000-0000-00002E000000}"/>
    <cellStyle name="Millares 2 2 2" xfId="62" xr:uid="{00000000-0005-0000-0000-00002F000000}"/>
    <cellStyle name="Millares 2 2 2 2" xfId="423" xr:uid="{AA3FA51F-E360-4A89-BAC4-D0C44E0175D8}"/>
    <cellStyle name="Millares 2 2 3" xfId="422" xr:uid="{388AF476-CD48-4C0E-8B49-5A241685CFF3}"/>
    <cellStyle name="Millares 2 3" xfId="23" xr:uid="{00000000-0005-0000-0000-000030000000}"/>
    <cellStyle name="Millares 2 3 2" xfId="420" xr:uid="{01ACEE66-F362-41FC-A5B5-DE938B81121B}"/>
    <cellStyle name="Millares 2 4" xfId="421" xr:uid="{92D53063-D8E7-4222-8A41-DA06BD3C3C3F}"/>
    <cellStyle name="Millares 3" xfId="63" xr:uid="{00000000-0005-0000-0000-000031000000}"/>
    <cellStyle name="Millares 3 2" xfId="64" xr:uid="{00000000-0005-0000-0000-000032000000}"/>
    <cellStyle name="Millares 3 2 2" xfId="65" xr:uid="{00000000-0005-0000-0000-000033000000}"/>
    <cellStyle name="Millares 3 2 2 2" xfId="66" xr:uid="{00000000-0005-0000-0000-000034000000}"/>
    <cellStyle name="Millares 3 2 2 2 2" xfId="427" xr:uid="{149DF99E-1211-49CB-BFE2-ACA5B4BCAD71}"/>
    <cellStyle name="Millares 3 2 2 3" xfId="426" xr:uid="{7172689C-CF5A-4C23-A0F3-7F2B9D0C169C}"/>
    <cellStyle name="Millares 3 2 3" xfId="67" xr:uid="{00000000-0005-0000-0000-000035000000}"/>
    <cellStyle name="Millares 3 2 3 2" xfId="428" xr:uid="{3F5230F6-763F-49F9-B7C5-440B04B9F832}"/>
    <cellStyle name="Millares 3 2 4" xfId="425" xr:uid="{DC23FF41-0F53-4F8E-9B64-416789BFE87B}"/>
    <cellStyle name="Millares 3 3" xfId="424" xr:uid="{46DA638D-B2AC-451E-B97C-4893F137724F}"/>
    <cellStyle name="Millares 4" xfId="68" xr:uid="{00000000-0005-0000-0000-000036000000}"/>
    <cellStyle name="Millares 4 2" xfId="69" xr:uid="{00000000-0005-0000-0000-000037000000}"/>
    <cellStyle name="Millares 4 2 2" xfId="70" xr:uid="{00000000-0005-0000-0000-000038000000}"/>
    <cellStyle name="Millares 4 2 2 2" xfId="431" xr:uid="{28AAFA9B-4642-4F2D-B526-F377C7DCF188}"/>
    <cellStyle name="Millares 4 2 3" xfId="430" xr:uid="{A320E1BE-FACB-4F0B-BEE1-58E978ACED55}"/>
    <cellStyle name="Millares 4 3" xfId="429" xr:uid="{40B7F9A2-1139-4E15-9CCA-ABC230408FC4}"/>
    <cellStyle name="Millares 5" xfId="71" xr:uid="{00000000-0005-0000-0000-000039000000}"/>
    <cellStyle name="Millares 5 2" xfId="432" xr:uid="{EBF4F333-211A-492D-920C-B46650816779}"/>
    <cellStyle name="Millares 6" xfId="72" xr:uid="{00000000-0005-0000-0000-00003A000000}"/>
    <cellStyle name="Millares 6 2" xfId="433" xr:uid="{D9F73508-6248-4069-952E-F27AD9DD734F}"/>
    <cellStyle name="Millares 7" xfId="73" xr:uid="{00000000-0005-0000-0000-00003B000000}"/>
    <cellStyle name="Millares 7 2" xfId="434" xr:uid="{907961D4-8CA8-4D7B-9F54-8B0BC67D6AA1}"/>
    <cellStyle name="Millares 8" xfId="74" xr:uid="{00000000-0005-0000-0000-00003C000000}"/>
    <cellStyle name="Millares 8 2" xfId="435" xr:uid="{A556CF1F-02BA-46C3-BF50-8BB89F10C6B7}"/>
    <cellStyle name="Millares 9" xfId="75" xr:uid="{00000000-0005-0000-0000-00003D000000}"/>
    <cellStyle name="Millares 9 2" xfId="436" xr:uid="{C839E287-D900-4B83-9691-B5584B2EC4BA}"/>
    <cellStyle name="Millares_PBC`S 2006" xfId="20" xr:uid="{00000000-0005-0000-0000-00003E000000}"/>
    <cellStyle name="Normal" xfId="0" builtinId="0"/>
    <cellStyle name="Normal 10" xfId="76" xr:uid="{00000000-0005-0000-0000-000041000000}"/>
    <cellStyle name="Normal 10 2" xfId="414" xr:uid="{00000000-0005-0000-0000-000042000000}"/>
    <cellStyle name="Normal 10 2 2" xfId="446" xr:uid="{6A165E0C-A46F-4635-8144-0E43C0FD057E}"/>
    <cellStyle name="Normal 10 3" xfId="437" xr:uid="{46D8B1D1-17D0-4852-9F70-4718EAA3FD9B}"/>
    <cellStyle name="Normal 11" xfId="77" xr:uid="{00000000-0005-0000-0000-000043000000}"/>
    <cellStyle name="Normal 12" xfId="78" xr:uid="{00000000-0005-0000-0000-000044000000}"/>
    <cellStyle name="Normal 12 2" xfId="438" xr:uid="{0178D755-43B7-49F7-8302-9EBF50A3D1D4}"/>
    <cellStyle name="Normal 13" xfId="79" xr:uid="{00000000-0005-0000-0000-000045000000}"/>
    <cellStyle name="Normal 13 2" xfId="439" xr:uid="{A85A5CEC-7085-4327-835C-7ABF96D3E90B}"/>
    <cellStyle name="Normal 14" xfId="197" xr:uid="{00000000-0005-0000-0000-000046000000}"/>
    <cellStyle name="Normal 14 2" xfId="445" xr:uid="{755A84CF-21D7-450A-8F3E-D46BCFD434B0}"/>
    <cellStyle name="Normal 2" xfId="22" xr:uid="{00000000-0005-0000-0000-000047000000}"/>
    <cellStyle name="Normal 2 10" xfId="80" xr:uid="{00000000-0005-0000-0000-000048000000}"/>
    <cellStyle name="Normal 2 10 10" xfId="226" xr:uid="{00000000-0005-0000-0000-000049000000}"/>
    <cellStyle name="Normal 2 10 11" xfId="230" xr:uid="{00000000-0005-0000-0000-00004A000000}"/>
    <cellStyle name="Normal 2 10 12" xfId="234" xr:uid="{00000000-0005-0000-0000-00004B000000}"/>
    <cellStyle name="Normal 2 10 13" xfId="238" xr:uid="{00000000-0005-0000-0000-00004C000000}"/>
    <cellStyle name="Normal 2 10 14" xfId="242" xr:uid="{00000000-0005-0000-0000-00004D000000}"/>
    <cellStyle name="Normal 2 10 15" xfId="246" xr:uid="{00000000-0005-0000-0000-00004E000000}"/>
    <cellStyle name="Normal 2 10 16" xfId="250" xr:uid="{00000000-0005-0000-0000-00004F000000}"/>
    <cellStyle name="Normal 2 10 17" xfId="254" xr:uid="{00000000-0005-0000-0000-000050000000}"/>
    <cellStyle name="Normal 2 10 18" xfId="258" xr:uid="{00000000-0005-0000-0000-000051000000}"/>
    <cellStyle name="Normal 2 10 19" xfId="262" xr:uid="{00000000-0005-0000-0000-000052000000}"/>
    <cellStyle name="Normal 2 10 2" xfId="81" xr:uid="{00000000-0005-0000-0000-000053000000}"/>
    <cellStyle name="Normal 2 10 20" xfId="266" xr:uid="{00000000-0005-0000-0000-000054000000}"/>
    <cellStyle name="Normal 2 10 21" xfId="270" xr:uid="{00000000-0005-0000-0000-000055000000}"/>
    <cellStyle name="Normal 2 10 22" xfId="274" xr:uid="{00000000-0005-0000-0000-000056000000}"/>
    <cellStyle name="Normal 2 10 23" xfId="278" xr:uid="{00000000-0005-0000-0000-000057000000}"/>
    <cellStyle name="Normal 2 10 24" xfId="282" xr:uid="{00000000-0005-0000-0000-000058000000}"/>
    <cellStyle name="Normal 2 10 25" xfId="286" xr:uid="{00000000-0005-0000-0000-000059000000}"/>
    <cellStyle name="Normal 2 10 26" xfId="290" xr:uid="{00000000-0005-0000-0000-00005A000000}"/>
    <cellStyle name="Normal 2 10 27" xfId="294" xr:uid="{00000000-0005-0000-0000-00005B000000}"/>
    <cellStyle name="Normal 2 10 28" xfId="298" xr:uid="{00000000-0005-0000-0000-00005C000000}"/>
    <cellStyle name="Normal 2 10 3" xfId="198" xr:uid="{00000000-0005-0000-0000-00005D000000}"/>
    <cellStyle name="Normal 2 10 4" xfId="202" xr:uid="{00000000-0005-0000-0000-00005E000000}"/>
    <cellStyle name="Normal 2 10 5" xfId="206" xr:uid="{00000000-0005-0000-0000-00005F000000}"/>
    <cellStyle name="Normal 2 10 6" xfId="210" xr:uid="{00000000-0005-0000-0000-000060000000}"/>
    <cellStyle name="Normal 2 10 7" xfId="214" xr:uid="{00000000-0005-0000-0000-000061000000}"/>
    <cellStyle name="Normal 2 10 8" xfId="218" xr:uid="{00000000-0005-0000-0000-000062000000}"/>
    <cellStyle name="Normal 2 10 9" xfId="222" xr:uid="{00000000-0005-0000-0000-000063000000}"/>
    <cellStyle name="Normal 2 11" xfId="82" xr:uid="{00000000-0005-0000-0000-000064000000}"/>
    <cellStyle name="Normal 2 11 10" xfId="227" xr:uid="{00000000-0005-0000-0000-000065000000}"/>
    <cellStyle name="Normal 2 11 11" xfId="231" xr:uid="{00000000-0005-0000-0000-000066000000}"/>
    <cellStyle name="Normal 2 11 12" xfId="235" xr:uid="{00000000-0005-0000-0000-000067000000}"/>
    <cellStyle name="Normal 2 11 13" xfId="239" xr:uid="{00000000-0005-0000-0000-000068000000}"/>
    <cellStyle name="Normal 2 11 14" xfId="243" xr:uid="{00000000-0005-0000-0000-000069000000}"/>
    <cellStyle name="Normal 2 11 15" xfId="247" xr:uid="{00000000-0005-0000-0000-00006A000000}"/>
    <cellStyle name="Normal 2 11 16" xfId="251" xr:uid="{00000000-0005-0000-0000-00006B000000}"/>
    <cellStyle name="Normal 2 11 17" xfId="255" xr:uid="{00000000-0005-0000-0000-00006C000000}"/>
    <cellStyle name="Normal 2 11 18" xfId="259" xr:uid="{00000000-0005-0000-0000-00006D000000}"/>
    <cellStyle name="Normal 2 11 19" xfId="263" xr:uid="{00000000-0005-0000-0000-00006E000000}"/>
    <cellStyle name="Normal 2 11 2" xfId="83" xr:uid="{00000000-0005-0000-0000-00006F000000}"/>
    <cellStyle name="Normal 2 11 20" xfId="267" xr:uid="{00000000-0005-0000-0000-000070000000}"/>
    <cellStyle name="Normal 2 11 21" xfId="271" xr:uid="{00000000-0005-0000-0000-000071000000}"/>
    <cellStyle name="Normal 2 11 22" xfId="275" xr:uid="{00000000-0005-0000-0000-000072000000}"/>
    <cellStyle name="Normal 2 11 23" xfId="279" xr:uid="{00000000-0005-0000-0000-000073000000}"/>
    <cellStyle name="Normal 2 11 24" xfId="283" xr:uid="{00000000-0005-0000-0000-000074000000}"/>
    <cellStyle name="Normal 2 11 25" xfId="287" xr:uid="{00000000-0005-0000-0000-000075000000}"/>
    <cellStyle name="Normal 2 11 26" xfId="291" xr:uid="{00000000-0005-0000-0000-000076000000}"/>
    <cellStyle name="Normal 2 11 27" xfId="295" xr:uid="{00000000-0005-0000-0000-000077000000}"/>
    <cellStyle name="Normal 2 11 28" xfId="299" xr:uid="{00000000-0005-0000-0000-000078000000}"/>
    <cellStyle name="Normal 2 11 3" xfId="199" xr:uid="{00000000-0005-0000-0000-000079000000}"/>
    <cellStyle name="Normal 2 11 4" xfId="203" xr:uid="{00000000-0005-0000-0000-00007A000000}"/>
    <cellStyle name="Normal 2 11 5" xfId="207" xr:uid="{00000000-0005-0000-0000-00007B000000}"/>
    <cellStyle name="Normal 2 11 6" xfId="211" xr:uid="{00000000-0005-0000-0000-00007C000000}"/>
    <cellStyle name="Normal 2 11 7" xfId="215" xr:uid="{00000000-0005-0000-0000-00007D000000}"/>
    <cellStyle name="Normal 2 11 8" xfId="219" xr:uid="{00000000-0005-0000-0000-00007E000000}"/>
    <cellStyle name="Normal 2 11 9" xfId="223" xr:uid="{00000000-0005-0000-0000-00007F000000}"/>
    <cellStyle name="Normal 2 12" xfId="84" xr:uid="{00000000-0005-0000-0000-000080000000}"/>
    <cellStyle name="Normal 2 12 10" xfId="228" xr:uid="{00000000-0005-0000-0000-000081000000}"/>
    <cellStyle name="Normal 2 12 11" xfId="232" xr:uid="{00000000-0005-0000-0000-000082000000}"/>
    <cellStyle name="Normal 2 12 12" xfId="236" xr:uid="{00000000-0005-0000-0000-000083000000}"/>
    <cellStyle name="Normal 2 12 13" xfId="240" xr:uid="{00000000-0005-0000-0000-000084000000}"/>
    <cellStyle name="Normal 2 12 14" xfId="244" xr:uid="{00000000-0005-0000-0000-000085000000}"/>
    <cellStyle name="Normal 2 12 15" xfId="248" xr:uid="{00000000-0005-0000-0000-000086000000}"/>
    <cellStyle name="Normal 2 12 16" xfId="252" xr:uid="{00000000-0005-0000-0000-000087000000}"/>
    <cellStyle name="Normal 2 12 17" xfId="256" xr:uid="{00000000-0005-0000-0000-000088000000}"/>
    <cellStyle name="Normal 2 12 18" xfId="260" xr:uid="{00000000-0005-0000-0000-000089000000}"/>
    <cellStyle name="Normal 2 12 19" xfId="264" xr:uid="{00000000-0005-0000-0000-00008A000000}"/>
    <cellStyle name="Normal 2 12 2" xfId="85" xr:uid="{00000000-0005-0000-0000-00008B000000}"/>
    <cellStyle name="Normal 2 12 20" xfId="268" xr:uid="{00000000-0005-0000-0000-00008C000000}"/>
    <cellStyle name="Normal 2 12 21" xfId="272" xr:uid="{00000000-0005-0000-0000-00008D000000}"/>
    <cellStyle name="Normal 2 12 22" xfId="276" xr:uid="{00000000-0005-0000-0000-00008E000000}"/>
    <cellStyle name="Normal 2 12 23" xfId="280" xr:uid="{00000000-0005-0000-0000-00008F000000}"/>
    <cellStyle name="Normal 2 12 24" xfId="284" xr:uid="{00000000-0005-0000-0000-000090000000}"/>
    <cellStyle name="Normal 2 12 25" xfId="288" xr:uid="{00000000-0005-0000-0000-000091000000}"/>
    <cellStyle name="Normal 2 12 26" xfId="292" xr:uid="{00000000-0005-0000-0000-000092000000}"/>
    <cellStyle name="Normal 2 12 27" xfId="296" xr:uid="{00000000-0005-0000-0000-000093000000}"/>
    <cellStyle name="Normal 2 12 28" xfId="300" xr:uid="{00000000-0005-0000-0000-000094000000}"/>
    <cellStyle name="Normal 2 12 3" xfId="200" xr:uid="{00000000-0005-0000-0000-000095000000}"/>
    <cellStyle name="Normal 2 12 4" xfId="204" xr:uid="{00000000-0005-0000-0000-000096000000}"/>
    <cellStyle name="Normal 2 12 5" xfId="208" xr:uid="{00000000-0005-0000-0000-000097000000}"/>
    <cellStyle name="Normal 2 12 6" xfId="212" xr:uid="{00000000-0005-0000-0000-000098000000}"/>
    <cellStyle name="Normal 2 12 7" xfId="216" xr:uid="{00000000-0005-0000-0000-000099000000}"/>
    <cellStyle name="Normal 2 12 8" xfId="220" xr:uid="{00000000-0005-0000-0000-00009A000000}"/>
    <cellStyle name="Normal 2 12 9" xfId="224" xr:uid="{00000000-0005-0000-0000-00009B000000}"/>
    <cellStyle name="Normal 2 13" xfId="86" xr:uid="{00000000-0005-0000-0000-00009C000000}"/>
    <cellStyle name="Normal 2 13 10" xfId="229" xr:uid="{00000000-0005-0000-0000-00009D000000}"/>
    <cellStyle name="Normal 2 13 11" xfId="233" xr:uid="{00000000-0005-0000-0000-00009E000000}"/>
    <cellStyle name="Normal 2 13 12" xfId="237" xr:uid="{00000000-0005-0000-0000-00009F000000}"/>
    <cellStyle name="Normal 2 13 13" xfId="241" xr:uid="{00000000-0005-0000-0000-0000A0000000}"/>
    <cellStyle name="Normal 2 13 14" xfId="245" xr:uid="{00000000-0005-0000-0000-0000A1000000}"/>
    <cellStyle name="Normal 2 13 15" xfId="249" xr:uid="{00000000-0005-0000-0000-0000A2000000}"/>
    <cellStyle name="Normal 2 13 16" xfId="253" xr:uid="{00000000-0005-0000-0000-0000A3000000}"/>
    <cellStyle name="Normal 2 13 17" xfId="257" xr:uid="{00000000-0005-0000-0000-0000A4000000}"/>
    <cellStyle name="Normal 2 13 18" xfId="261" xr:uid="{00000000-0005-0000-0000-0000A5000000}"/>
    <cellStyle name="Normal 2 13 19" xfId="265" xr:uid="{00000000-0005-0000-0000-0000A6000000}"/>
    <cellStyle name="Normal 2 13 2" xfId="87" xr:uid="{00000000-0005-0000-0000-0000A7000000}"/>
    <cellStyle name="Normal 2 13 20" xfId="269" xr:uid="{00000000-0005-0000-0000-0000A8000000}"/>
    <cellStyle name="Normal 2 13 21" xfId="273" xr:uid="{00000000-0005-0000-0000-0000A9000000}"/>
    <cellStyle name="Normal 2 13 22" xfId="277" xr:uid="{00000000-0005-0000-0000-0000AA000000}"/>
    <cellStyle name="Normal 2 13 23" xfId="281" xr:uid="{00000000-0005-0000-0000-0000AB000000}"/>
    <cellStyle name="Normal 2 13 24" xfId="285" xr:uid="{00000000-0005-0000-0000-0000AC000000}"/>
    <cellStyle name="Normal 2 13 25" xfId="289" xr:uid="{00000000-0005-0000-0000-0000AD000000}"/>
    <cellStyle name="Normal 2 13 26" xfId="293" xr:uid="{00000000-0005-0000-0000-0000AE000000}"/>
    <cellStyle name="Normal 2 13 27" xfId="297" xr:uid="{00000000-0005-0000-0000-0000AF000000}"/>
    <cellStyle name="Normal 2 13 28" xfId="301" xr:uid="{00000000-0005-0000-0000-0000B0000000}"/>
    <cellStyle name="Normal 2 13 3" xfId="201" xr:uid="{00000000-0005-0000-0000-0000B1000000}"/>
    <cellStyle name="Normal 2 13 4" xfId="205" xr:uid="{00000000-0005-0000-0000-0000B2000000}"/>
    <cellStyle name="Normal 2 13 5" xfId="209" xr:uid="{00000000-0005-0000-0000-0000B3000000}"/>
    <cellStyle name="Normal 2 13 6" xfId="213" xr:uid="{00000000-0005-0000-0000-0000B4000000}"/>
    <cellStyle name="Normal 2 13 7" xfId="217" xr:uid="{00000000-0005-0000-0000-0000B5000000}"/>
    <cellStyle name="Normal 2 13 8" xfId="221" xr:uid="{00000000-0005-0000-0000-0000B6000000}"/>
    <cellStyle name="Normal 2 13 9" xfId="225" xr:uid="{00000000-0005-0000-0000-0000B7000000}"/>
    <cellStyle name="Normal 2 14" xfId="88" xr:uid="{00000000-0005-0000-0000-0000B8000000}"/>
    <cellStyle name="Normal 2 15" xfId="89" xr:uid="{00000000-0005-0000-0000-0000B9000000}"/>
    <cellStyle name="Normal 2 16" xfId="21" xr:uid="{00000000-0005-0000-0000-0000BA000000}"/>
    <cellStyle name="Normal 2 2" xfId="90" xr:uid="{00000000-0005-0000-0000-0000BB000000}"/>
    <cellStyle name="Normal 2 2 2" xfId="91" xr:uid="{00000000-0005-0000-0000-0000BC000000}"/>
    <cellStyle name="Normal 2 2 3" xfId="92" xr:uid="{00000000-0005-0000-0000-0000BD000000}"/>
    <cellStyle name="Normal 2 2_10" xfId="93" xr:uid="{00000000-0005-0000-0000-0000BE000000}"/>
    <cellStyle name="Normal 2 3" xfId="94" xr:uid="{00000000-0005-0000-0000-0000BF000000}"/>
    <cellStyle name="Normal 2 3 2" xfId="95" xr:uid="{00000000-0005-0000-0000-0000C0000000}"/>
    <cellStyle name="Normal 2 3 3" xfId="96" xr:uid="{00000000-0005-0000-0000-0000C1000000}"/>
    <cellStyle name="Normal 2 3_10" xfId="97" xr:uid="{00000000-0005-0000-0000-0000C2000000}"/>
    <cellStyle name="Normal 2 4" xfId="98" xr:uid="{00000000-0005-0000-0000-0000C3000000}"/>
    <cellStyle name="Normal 2 4 2" xfId="99" xr:uid="{00000000-0005-0000-0000-0000C4000000}"/>
    <cellStyle name="Normal 2 4 3" xfId="100" xr:uid="{00000000-0005-0000-0000-0000C5000000}"/>
    <cellStyle name="Normal 2 4_10" xfId="101" xr:uid="{00000000-0005-0000-0000-0000C6000000}"/>
    <cellStyle name="Normal 2 5" xfId="102" xr:uid="{00000000-0005-0000-0000-0000C7000000}"/>
    <cellStyle name="Normal 2 5 2" xfId="103" xr:uid="{00000000-0005-0000-0000-0000C8000000}"/>
    <cellStyle name="Normal 2 5 3" xfId="104" xr:uid="{00000000-0005-0000-0000-0000C9000000}"/>
    <cellStyle name="Normal 2 5_10" xfId="105" xr:uid="{00000000-0005-0000-0000-0000CA000000}"/>
    <cellStyle name="Normal 2 6" xfId="106" xr:uid="{00000000-0005-0000-0000-0000CB000000}"/>
    <cellStyle name="Normal 2 6 2" xfId="107" xr:uid="{00000000-0005-0000-0000-0000CC000000}"/>
    <cellStyle name="Normal 2 6 3" xfId="108" xr:uid="{00000000-0005-0000-0000-0000CD000000}"/>
    <cellStyle name="Normal 2 6_10" xfId="109" xr:uid="{00000000-0005-0000-0000-0000CE000000}"/>
    <cellStyle name="Normal 2 7" xfId="110" xr:uid="{00000000-0005-0000-0000-0000CF000000}"/>
    <cellStyle name="Normal 2 7 2" xfId="111" xr:uid="{00000000-0005-0000-0000-0000D0000000}"/>
    <cellStyle name="Normal 2 7 3" xfId="112" xr:uid="{00000000-0005-0000-0000-0000D1000000}"/>
    <cellStyle name="Normal 2 7_10" xfId="113" xr:uid="{00000000-0005-0000-0000-0000D2000000}"/>
    <cellStyle name="Normal 2 8" xfId="114" xr:uid="{00000000-0005-0000-0000-0000D3000000}"/>
    <cellStyle name="Normal 2 8 2" xfId="115" xr:uid="{00000000-0005-0000-0000-0000D4000000}"/>
    <cellStyle name="Normal 2 8 3" xfId="116" xr:uid="{00000000-0005-0000-0000-0000D5000000}"/>
    <cellStyle name="Normal 2 8_10" xfId="117" xr:uid="{00000000-0005-0000-0000-0000D6000000}"/>
    <cellStyle name="Normal 2 9" xfId="118" xr:uid="{00000000-0005-0000-0000-0000D7000000}"/>
    <cellStyle name="Normal 2_10" xfId="119" xr:uid="{00000000-0005-0000-0000-0000D8000000}"/>
    <cellStyle name="Normal 3" xfId="120" xr:uid="{00000000-0005-0000-0000-0000D9000000}"/>
    <cellStyle name="Normal 3 10" xfId="121" xr:uid="{00000000-0005-0000-0000-0000DA000000}"/>
    <cellStyle name="Normal 3 10 2" xfId="304" xr:uid="{00000000-0005-0000-0000-0000DB000000}"/>
    <cellStyle name="Normal 3 11" xfId="312" xr:uid="{00000000-0005-0000-0000-0000DC000000}"/>
    <cellStyle name="Normal 3 12" xfId="317" xr:uid="{00000000-0005-0000-0000-0000DD000000}"/>
    <cellStyle name="Normal 3 13" xfId="322" xr:uid="{00000000-0005-0000-0000-0000DE000000}"/>
    <cellStyle name="Normal 3 14" xfId="327" xr:uid="{00000000-0005-0000-0000-0000DF000000}"/>
    <cellStyle name="Normal 3 15" xfId="303" xr:uid="{00000000-0005-0000-0000-0000E0000000}"/>
    <cellStyle name="Normal 3 16" xfId="302" xr:uid="{00000000-0005-0000-0000-0000E1000000}"/>
    <cellStyle name="Normal 3 17" xfId="328" xr:uid="{00000000-0005-0000-0000-0000E2000000}"/>
    <cellStyle name="Normal 3 18" xfId="330" xr:uid="{00000000-0005-0000-0000-0000E3000000}"/>
    <cellStyle name="Normal 3 19" xfId="307" xr:uid="{00000000-0005-0000-0000-0000E4000000}"/>
    <cellStyle name="Normal 3 2" xfId="122" xr:uid="{00000000-0005-0000-0000-0000E5000000}"/>
    <cellStyle name="Normal 3 2 2" xfId="123" xr:uid="{00000000-0005-0000-0000-0000E6000000}"/>
    <cellStyle name="Normal 3 2 3" xfId="124" xr:uid="{00000000-0005-0000-0000-0000E7000000}"/>
    <cellStyle name="Normal 3 2_10" xfId="125" xr:uid="{00000000-0005-0000-0000-0000E8000000}"/>
    <cellStyle name="Normal 3 20" xfId="329" xr:uid="{00000000-0005-0000-0000-0000E9000000}"/>
    <cellStyle name="Normal 3 21" xfId="362" xr:uid="{00000000-0005-0000-0000-0000EA000000}"/>
    <cellStyle name="Normal 3 22" xfId="369" xr:uid="{00000000-0005-0000-0000-0000EB000000}"/>
    <cellStyle name="Normal 3 23" xfId="365" xr:uid="{00000000-0005-0000-0000-0000EC000000}"/>
    <cellStyle name="Normal 3 24" xfId="380" xr:uid="{00000000-0005-0000-0000-0000ED000000}"/>
    <cellStyle name="Normal 3 25" xfId="368" xr:uid="{00000000-0005-0000-0000-0000EE000000}"/>
    <cellStyle name="Normal 3 26" xfId="391" xr:uid="{00000000-0005-0000-0000-0000EF000000}"/>
    <cellStyle name="Normal 3 27" xfId="381" xr:uid="{00000000-0005-0000-0000-0000F0000000}"/>
    <cellStyle name="Normal 3 28" xfId="404" xr:uid="{00000000-0005-0000-0000-0000F1000000}"/>
    <cellStyle name="Normal 3 29" xfId="400" xr:uid="{00000000-0005-0000-0000-0000F2000000}"/>
    <cellStyle name="Normal 3 3" xfId="126" xr:uid="{00000000-0005-0000-0000-0000F3000000}"/>
    <cellStyle name="Normal 3 3 2" xfId="127" xr:uid="{00000000-0005-0000-0000-0000F4000000}"/>
    <cellStyle name="Normal 3 3 3" xfId="128" xr:uid="{00000000-0005-0000-0000-0000F5000000}"/>
    <cellStyle name="Normal 3 3_10" xfId="129" xr:uid="{00000000-0005-0000-0000-0000F6000000}"/>
    <cellStyle name="Normal 3 30" xfId="408" xr:uid="{00000000-0005-0000-0000-0000F7000000}"/>
    <cellStyle name="Normal 3 31" xfId="410" xr:uid="{00000000-0005-0000-0000-0000F8000000}"/>
    <cellStyle name="Normal 3 4" xfId="130" xr:uid="{00000000-0005-0000-0000-0000F9000000}"/>
    <cellStyle name="Normal 3 4 2" xfId="131" xr:uid="{00000000-0005-0000-0000-0000FA000000}"/>
    <cellStyle name="Normal 3 4 3" xfId="132" xr:uid="{00000000-0005-0000-0000-0000FB000000}"/>
    <cellStyle name="Normal 3 4_10" xfId="133" xr:uid="{00000000-0005-0000-0000-0000FC000000}"/>
    <cellStyle name="Normal 3 5" xfId="134" xr:uid="{00000000-0005-0000-0000-0000FD000000}"/>
    <cellStyle name="Normal 3 5 2" xfId="135" xr:uid="{00000000-0005-0000-0000-0000FE000000}"/>
    <cellStyle name="Normal 3 5 3" xfId="136" xr:uid="{00000000-0005-0000-0000-0000FF000000}"/>
    <cellStyle name="Normal 3 5_10" xfId="137" xr:uid="{00000000-0005-0000-0000-000000010000}"/>
    <cellStyle name="Normal 3 6" xfId="138" xr:uid="{00000000-0005-0000-0000-000001010000}"/>
    <cellStyle name="Normal 3 6 2" xfId="139" xr:uid="{00000000-0005-0000-0000-000002010000}"/>
    <cellStyle name="Normal 3 6 3" xfId="140" xr:uid="{00000000-0005-0000-0000-000003010000}"/>
    <cellStyle name="Normal 3 6_10" xfId="141" xr:uid="{00000000-0005-0000-0000-000004010000}"/>
    <cellStyle name="Normal 3 7" xfId="142" xr:uid="{00000000-0005-0000-0000-000005010000}"/>
    <cellStyle name="Normal 3 8" xfId="143" xr:uid="{00000000-0005-0000-0000-000006010000}"/>
    <cellStyle name="Normal 3 9" xfId="144" xr:uid="{00000000-0005-0000-0000-000007010000}"/>
    <cellStyle name="Normal 32" xfId="145" xr:uid="{00000000-0005-0000-0000-000008010000}"/>
    <cellStyle name="Normal 32 2" xfId="440" xr:uid="{9DA0E7A7-7FE2-48F3-AB6A-0749B2392D10}"/>
    <cellStyle name="Normal 4" xfId="146" xr:uid="{00000000-0005-0000-0000-000009010000}"/>
    <cellStyle name="Normal 4 10" xfId="147" xr:uid="{00000000-0005-0000-0000-00000A010000}"/>
    <cellStyle name="Normal 4 10 2" xfId="308" xr:uid="{00000000-0005-0000-0000-00000B010000}"/>
    <cellStyle name="Normal 4 11" xfId="313" xr:uid="{00000000-0005-0000-0000-00000C010000}"/>
    <cellStyle name="Normal 4 12" xfId="318" xr:uid="{00000000-0005-0000-0000-00000D010000}"/>
    <cellStyle name="Normal 4 13" xfId="323" xr:uid="{00000000-0005-0000-0000-00000E010000}"/>
    <cellStyle name="Normal 4 14" xfId="339" xr:uid="{00000000-0005-0000-0000-00000F010000}"/>
    <cellStyle name="Normal 4 15" xfId="331" xr:uid="{00000000-0005-0000-0000-000010010000}"/>
    <cellStyle name="Normal 4 16" xfId="348" xr:uid="{00000000-0005-0000-0000-000011010000}"/>
    <cellStyle name="Normal 4 17" xfId="345" xr:uid="{00000000-0005-0000-0000-000012010000}"/>
    <cellStyle name="Normal 4 18" xfId="352" xr:uid="{00000000-0005-0000-0000-000013010000}"/>
    <cellStyle name="Normal 4 19" xfId="338" xr:uid="{00000000-0005-0000-0000-000014010000}"/>
    <cellStyle name="Normal 4 2" xfId="148" xr:uid="{00000000-0005-0000-0000-000015010000}"/>
    <cellStyle name="Normal 4 20" xfId="357" xr:uid="{00000000-0005-0000-0000-000016010000}"/>
    <cellStyle name="Normal 4 21" xfId="360" xr:uid="{00000000-0005-0000-0000-000017010000}"/>
    <cellStyle name="Normal 4 22" xfId="370" xr:uid="{00000000-0005-0000-0000-000018010000}"/>
    <cellStyle name="Normal 4 23" xfId="364" xr:uid="{00000000-0005-0000-0000-000019010000}"/>
    <cellStyle name="Normal 4 24" xfId="383" xr:uid="{00000000-0005-0000-0000-00001A010000}"/>
    <cellStyle name="Normal 4 25" xfId="382" xr:uid="{00000000-0005-0000-0000-00001B010000}"/>
    <cellStyle name="Normal 4 26" xfId="376" xr:uid="{00000000-0005-0000-0000-00001C010000}"/>
    <cellStyle name="Normal 4 27" xfId="367" xr:uid="{00000000-0005-0000-0000-00001D010000}"/>
    <cellStyle name="Normal 4 28" xfId="405" xr:uid="{00000000-0005-0000-0000-00001E010000}"/>
    <cellStyle name="Normal 4 29" xfId="403" xr:uid="{00000000-0005-0000-0000-00001F010000}"/>
    <cellStyle name="Normal 4 3" xfId="149" xr:uid="{00000000-0005-0000-0000-000020010000}"/>
    <cellStyle name="Normal 4 30" xfId="411" xr:uid="{00000000-0005-0000-0000-000021010000}"/>
    <cellStyle name="Normal 4 31" xfId="401" xr:uid="{00000000-0005-0000-0000-000022010000}"/>
    <cellStyle name="Normal 4 4" xfId="150" xr:uid="{00000000-0005-0000-0000-000023010000}"/>
    <cellStyle name="Normal 4 5" xfId="151" xr:uid="{00000000-0005-0000-0000-000024010000}"/>
    <cellStyle name="Normal 4 6" xfId="152" xr:uid="{00000000-0005-0000-0000-000025010000}"/>
    <cellStyle name="Normal 4 7" xfId="153" xr:uid="{00000000-0005-0000-0000-000026010000}"/>
    <cellStyle name="Normal 4 8" xfId="154" xr:uid="{00000000-0005-0000-0000-000027010000}"/>
    <cellStyle name="Normal 4 9" xfId="155" xr:uid="{00000000-0005-0000-0000-000028010000}"/>
    <cellStyle name="Normal 5" xfId="156" xr:uid="{00000000-0005-0000-0000-000029010000}"/>
    <cellStyle name="Normal 5 10" xfId="157" xr:uid="{00000000-0005-0000-0000-00002A010000}"/>
    <cellStyle name="Normal 5 10 2" xfId="309" xr:uid="{00000000-0005-0000-0000-00002B010000}"/>
    <cellStyle name="Normal 5 11" xfId="314" xr:uid="{00000000-0005-0000-0000-00002C010000}"/>
    <cellStyle name="Normal 5 12" xfId="319" xr:uid="{00000000-0005-0000-0000-00002D010000}"/>
    <cellStyle name="Normal 5 13" xfId="324" xr:uid="{00000000-0005-0000-0000-00002E010000}"/>
    <cellStyle name="Normal 5 14" xfId="340" xr:uid="{00000000-0005-0000-0000-00002F010000}"/>
    <cellStyle name="Normal 5 15" xfId="347" xr:uid="{00000000-0005-0000-0000-000030010000}"/>
    <cellStyle name="Normal 5 16" xfId="332" xr:uid="{00000000-0005-0000-0000-000031010000}"/>
    <cellStyle name="Normal 5 17" xfId="351" xr:uid="{00000000-0005-0000-0000-000032010000}"/>
    <cellStyle name="Normal 5 18" xfId="337" xr:uid="{00000000-0005-0000-0000-000033010000}"/>
    <cellStyle name="Normal 5 19" xfId="354" xr:uid="{00000000-0005-0000-0000-000034010000}"/>
    <cellStyle name="Normal 5 2" xfId="158" xr:uid="{00000000-0005-0000-0000-000035010000}"/>
    <cellStyle name="Normal 5 20" xfId="361" xr:uid="{00000000-0005-0000-0000-000036010000}"/>
    <cellStyle name="Normal 5 21" xfId="363" xr:uid="{00000000-0005-0000-0000-000037010000}"/>
    <cellStyle name="Normal 5 22" xfId="371" xr:uid="{00000000-0005-0000-0000-000038010000}"/>
    <cellStyle name="Normal 5 23" xfId="379" xr:uid="{00000000-0005-0000-0000-000039010000}"/>
    <cellStyle name="Normal 5 24" xfId="384" xr:uid="{00000000-0005-0000-0000-00003A010000}"/>
    <cellStyle name="Normal 5 25" xfId="390" xr:uid="{00000000-0005-0000-0000-00003B010000}"/>
    <cellStyle name="Normal 5 26" xfId="374" xr:uid="{00000000-0005-0000-0000-00003C010000}"/>
    <cellStyle name="Normal 5 27" xfId="393" xr:uid="{00000000-0005-0000-0000-00003D010000}"/>
    <cellStyle name="Normal 5 28" xfId="394" xr:uid="{00000000-0005-0000-0000-00003E010000}"/>
    <cellStyle name="Normal 5 29" xfId="409" xr:uid="{00000000-0005-0000-0000-00003F010000}"/>
    <cellStyle name="Normal 5 3" xfId="159" xr:uid="{00000000-0005-0000-0000-000040010000}"/>
    <cellStyle name="Normal 5 30" xfId="399" xr:uid="{00000000-0005-0000-0000-000041010000}"/>
    <cellStyle name="Normal 5 31" xfId="413" xr:uid="{00000000-0005-0000-0000-000042010000}"/>
    <cellStyle name="Normal 5 4" xfId="160" xr:uid="{00000000-0005-0000-0000-000043010000}"/>
    <cellStyle name="Normal 5 5" xfId="161" xr:uid="{00000000-0005-0000-0000-000044010000}"/>
    <cellStyle name="Normal 5 6" xfId="162" xr:uid="{00000000-0005-0000-0000-000045010000}"/>
    <cellStyle name="Normal 5 7" xfId="163" xr:uid="{00000000-0005-0000-0000-000046010000}"/>
    <cellStyle name="Normal 5 8" xfId="164" xr:uid="{00000000-0005-0000-0000-000047010000}"/>
    <cellStyle name="Normal 5 9" xfId="165" xr:uid="{00000000-0005-0000-0000-000048010000}"/>
    <cellStyle name="Normal 6" xfId="166" xr:uid="{00000000-0005-0000-0000-000049010000}"/>
    <cellStyle name="Normal 6 10" xfId="343" xr:uid="{00000000-0005-0000-0000-00004A010000}"/>
    <cellStyle name="Normal 6 11" xfId="353" xr:uid="{00000000-0005-0000-0000-00004B010000}"/>
    <cellStyle name="Normal 6 12" xfId="355" xr:uid="{00000000-0005-0000-0000-00004C010000}"/>
    <cellStyle name="Normal 6 13" xfId="359" xr:uid="{00000000-0005-0000-0000-00004D010000}"/>
    <cellStyle name="Normal 6 14" xfId="372" xr:uid="{00000000-0005-0000-0000-00004E010000}"/>
    <cellStyle name="Normal 6 15" xfId="378" xr:uid="{00000000-0005-0000-0000-00004F010000}"/>
    <cellStyle name="Normal 6 16" xfId="385" xr:uid="{00000000-0005-0000-0000-000050010000}"/>
    <cellStyle name="Normal 6 17" xfId="389" xr:uid="{00000000-0005-0000-0000-000051010000}"/>
    <cellStyle name="Normal 6 18" xfId="387" xr:uid="{00000000-0005-0000-0000-000052010000}"/>
    <cellStyle name="Normal 6 19" xfId="392" xr:uid="{00000000-0005-0000-0000-000053010000}"/>
    <cellStyle name="Normal 6 2" xfId="310" xr:uid="{00000000-0005-0000-0000-000054010000}"/>
    <cellStyle name="Normal 6 20" xfId="396" xr:uid="{00000000-0005-0000-0000-000055010000}"/>
    <cellStyle name="Normal 6 21" xfId="407" xr:uid="{00000000-0005-0000-0000-000056010000}"/>
    <cellStyle name="Normal 6 22" xfId="402" xr:uid="{00000000-0005-0000-0000-000057010000}"/>
    <cellStyle name="Normal 6 23" xfId="412" xr:uid="{00000000-0005-0000-0000-000058010000}"/>
    <cellStyle name="Normal 6 24" xfId="305" xr:uid="{00000000-0005-0000-0000-000059010000}"/>
    <cellStyle name="Normal 6 25" xfId="441" xr:uid="{6F66F362-AC23-41B8-B518-B3A0DFBF07C1}"/>
    <cellStyle name="Normal 6 3" xfId="315" xr:uid="{00000000-0005-0000-0000-00005A010000}"/>
    <cellStyle name="Normal 6 4" xfId="320" xr:uid="{00000000-0005-0000-0000-00005B010000}"/>
    <cellStyle name="Normal 6 5" xfId="325" xr:uid="{00000000-0005-0000-0000-00005C010000}"/>
    <cellStyle name="Normal 6 6" xfId="341" xr:uid="{00000000-0005-0000-0000-00005D010000}"/>
    <cellStyle name="Normal 6 7" xfId="346" xr:uid="{00000000-0005-0000-0000-00005E010000}"/>
    <cellStyle name="Normal 6 8" xfId="334" xr:uid="{00000000-0005-0000-0000-00005F010000}"/>
    <cellStyle name="Normal 6 9" xfId="350" xr:uid="{00000000-0005-0000-0000-000060010000}"/>
    <cellStyle name="Normal 7" xfId="167" xr:uid="{00000000-0005-0000-0000-000061010000}"/>
    <cellStyle name="Normal 7 10" xfId="336" xr:uid="{00000000-0005-0000-0000-000062010000}"/>
    <cellStyle name="Normal 7 11" xfId="333" xr:uid="{00000000-0005-0000-0000-000063010000}"/>
    <cellStyle name="Normal 7 12" xfId="356" xr:uid="{00000000-0005-0000-0000-000064010000}"/>
    <cellStyle name="Normal 7 13" xfId="358" xr:uid="{00000000-0005-0000-0000-000065010000}"/>
    <cellStyle name="Normal 7 14" xfId="373" xr:uid="{00000000-0005-0000-0000-000066010000}"/>
    <cellStyle name="Normal 7 15" xfId="377" xr:uid="{00000000-0005-0000-0000-000067010000}"/>
    <cellStyle name="Normal 7 16" xfId="386" xr:uid="{00000000-0005-0000-0000-000068010000}"/>
    <cellStyle name="Normal 7 17" xfId="388" xr:uid="{00000000-0005-0000-0000-000069010000}"/>
    <cellStyle name="Normal 7 18" xfId="375" xr:uid="{00000000-0005-0000-0000-00006A010000}"/>
    <cellStyle name="Normal 7 19" xfId="366" xr:uid="{00000000-0005-0000-0000-00006B010000}"/>
    <cellStyle name="Normal 7 2" xfId="168" xr:uid="{00000000-0005-0000-0000-00006C010000}"/>
    <cellStyle name="Normal 7 2 2" xfId="311" xr:uid="{00000000-0005-0000-0000-00006D010000}"/>
    <cellStyle name="Normal 7 20" xfId="397" xr:uid="{00000000-0005-0000-0000-00006E010000}"/>
    <cellStyle name="Normal 7 21" xfId="406" xr:uid="{00000000-0005-0000-0000-00006F010000}"/>
    <cellStyle name="Normal 7 22" xfId="398" xr:uid="{00000000-0005-0000-0000-000070010000}"/>
    <cellStyle name="Normal 7 23" xfId="395" xr:uid="{00000000-0005-0000-0000-000071010000}"/>
    <cellStyle name="Normal 7 24" xfId="306" xr:uid="{00000000-0005-0000-0000-000072010000}"/>
    <cellStyle name="Normal 7 25" xfId="442" xr:uid="{AB9DD794-83A5-49D1-B225-E50476493DFF}"/>
    <cellStyle name="Normal 7 3" xfId="316" xr:uid="{00000000-0005-0000-0000-000073010000}"/>
    <cellStyle name="Normal 7 4" xfId="321" xr:uid="{00000000-0005-0000-0000-000074010000}"/>
    <cellStyle name="Normal 7 5" xfId="326" xr:uid="{00000000-0005-0000-0000-000075010000}"/>
    <cellStyle name="Normal 7 6" xfId="342" xr:uid="{00000000-0005-0000-0000-000076010000}"/>
    <cellStyle name="Normal 7 7" xfId="344" xr:uid="{00000000-0005-0000-0000-000077010000}"/>
    <cellStyle name="Normal 7 8" xfId="335" xr:uid="{00000000-0005-0000-0000-000078010000}"/>
    <cellStyle name="Normal 7 9" xfId="349" xr:uid="{00000000-0005-0000-0000-000079010000}"/>
    <cellStyle name="Normal 8" xfId="169" xr:uid="{00000000-0005-0000-0000-00007A010000}"/>
    <cellStyle name="Normal 8 2" xfId="443" xr:uid="{D11485CE-2F90-4E95-8E3A-6EB14DFED66B}"/>
    <cellStyle name="Normal 9" xfId="170" xr:uid="{00000000-0005-0000-0000-00007B010000}"/>
    <cellStyle name="Normal 9 2" xfId="444" xr:uid="{FB0E85F6-3E9E-4CF5-99B2-6CDAA4837C8C}"/>
    <cellStyle name="Normal_CCF HR Playacar 2003" xfId="7" xr:uid="{00000000-0005-0000-0000-00007C010000}"/>
    <cellStyle name="Notas 2" xfId="171" xr:uid="{00000000-0005-0000-0000-00007D010000}"/>
    <cellStyle name="Notas 2 2" xfId="172" xr:uid="{00000000-0005-0000-0000-00007E010000}"/>
    <cellStyle name="Notas 3" xfId="173" xr:uid="{00000000-0005-0000-0000-00007F010000}"/>
    <cellStyle name="Notas 3 2" xfId="174" xr:uid="{00000000-0005-0000-0000-000080010000}"/>
    <cellStyle name="Notas 4" xfId="175" xr:uid="{00000000-0005-0000-0000-000081010000}"/>
    <cellStyle name="Notas 4 2" xfId="176" xr:uid="{00000000-0005-0000-0000-000082010000}"/>
    <cellStyle name="Notas 5" xfId="177" xr:uid="{00000000-0005-0000-0000-000083010000}"/>
    <cellStyle name="Notas 5 2" xfId="178" xr:uid="{00000000-0005-0000-0000-000084010000}"/>
    <cellStyle name="Notas 6" xfId="179" xr:uid="{00000000-0005-0000-0000-000085010000}"/>
    <cellStyle name="Notas 6 2" xfId="180" xr:uid="{00000000-0005-0000-0000-000086010000}"/>
    <cellStyle name="Notas 7" xfId="181" xr:uid="{00000000-0005-0000-0000-000087010000}"/>
    <cellStyle name="Notas 7 2" xfId="182" xr:uid="{00000000-0005-0000-0000-000088010000}"/>
    <cellStyle name="Notas 8" xfId="183" xr:uid="{00000000-0005-0000-0000-000089010000}"/>
    <cellStyle name="Porcentual 2" xfId="184" xr:uid="{00000000-0005-0000-0000-00008A010000}"/>
    <cellStyle name="Porcentual 2 2" xfId="185" xr:uid="{00000000-0005-0000-0000-00008B010000}"/>
    <cellStyle name="Porcentual 2 2 2" xfId="186" xr:uid="{00000000-0005-0000-0000-00008C010000}"/>
    <cellStyle name="Porcentual 2 2 2 2" xfId="187" xr:uid="{00000000-0005-0000-0000-00008D010000}"/>
    <cellStyle name="Porcentual 2 2 3" xfId="188" xr:uid="{00000000-0005-0000-0000-00008E010000}"/>
    <cellStyle name="Porcentual 3" xfId="189" xr:uid="{00000000-0005-0000-0000-00008F010000}"/>
    <cellStyle name="PSChar" xfId="8" xr:uid="{00000000-0005-0000-0000-000090010000}"/>
    <cellStyle name="PSDate" xfId="9" xr:uid="{00000000-0005-0000-0000-000091010000}"/>
    <cellStyle name="PSDec" xfId="10" xr:uid="{00000000-0005-0000-0000-000092010000}"/>
    <cellStyle name="PSHeading" xfId="11" xr:uid="{00000000-0005-0000-0000-000093010000}"/>
    <cellStyle name="PSInt" xfId="12" xr:uid="{00000000-0005-0000-0000-000094010000}"/>
    <cellStyle name="PSSpacer" xfId="13" xr:uid="{00000000-0005-0000-0000-000095010000}"/>
    <cellStyle name="Saldos" xfId="24" xr:uid="{00000000-0005-0000-0000-000096010000}"/>
    <cellStyle name="Salida 2" xfId="190" xr:uid="{00000000-0005-0000-0000-000097010000}"/>
    <cellStyle name="SIN BORDES" xfId="14" xr:uid="{00000000-0005-0000-0000-000098010000}"/>
    <cellStyle name="SIN BORDES 2" xfId="418" xr:uid="{00000000-0005-0000-0000-000099010000}"/>
    <cellStyle name="STYLE1" xfId="15" xr:uid="{00000000-0005-0000-0000-00009A010000}"/>
    <cellStyle name="STYLE2" xfId="16" xr:uid="{00000000-0005-0000-0000-00009B010000}"/>
    <cellStyle name="STYLE3" xfId="17" xr:uid="{00000000-0005-0000-0000-00009C010000}"/>
    <cellStyle name="STYLE4" xfId="18" xr:uid="{00000000-0005-0000-0000-00009D010000}"/>
    <cellStyle name="STYLE5" xfId="19" xr:uid="{00000000-0005-0000-0000-00009E010000}"/>
    <cellStyle name="Texto de advertencia 2" xfId="191" xr:uid="{00000000-0005-0000-0000-00009F010000}"/>
    <cellStyle name="Texto explicativo 2" xfId="192" xr:uid="{00000000-0005-0000-0000-0000A0010000}"/>
    <cellStyle name="Título 1 2" xfId="193" xr:uid="{00000000-0005-0000-0000-0000A1010000}"/>
    <cellStyle name="Título 2 2" xfId="194" xr:uid="{00000000-0005-0000-0000-0000A2010000}"/>
    <cellStyle name="Título 3 2" xfId="195" xr:uid="{00000000-0005-0000-0000-0000A3010000}"/>
    <cellStyle name="Título 4" xfId="196" xr:uid="{00000000-0005-0000-0000-0000A4010000}"/>
  </cellStyles>
  <dxfs count="0"/>
  <tableStyles count="0" defaultTableStyle="TableStyleMedium9" defaultPivotStyle="PivotStyleLight16"/>
  <colors>
    <mruColors>
      <color rgb="FF669900"/>
      <color rgb="FF99CC00"/>
      <color rgb="FF00CC66"/>
      <color rgb="FF339933"/>
      <color rgb="FF0066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DCC2FB-E0E7-4071-A5C6-14BDFA48C3AE}" name="t_TipoDeclaración" displayName="t_TipoDeclaración" ref="A1:A7" totalsRowShown="0">
  <autoFilter ref="A1:A7" xr:uid="{F6DCC2FB-E0E7-4071-A5C6-14BDFA48C3AE}"/>
  <tableColumns count="1">
    <tableColumn id="1" xr3:uid="{6775D6A7-5D43-4FBD-8DAF-2BB3A50BE803}" name="Tipo de declaración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081F6D-BA43-40E3-8A7C-656D96524CC9}" name="t_Complementaria" displayName="t_Complementaria" ref="C1:C6" totalsRowShown="0">
  <autoFilter ref="C1:C6" xr:uid="{B4081F6D-BA43-40E3-8A7C-656D96524CC9}"/>
  <tableColumns count="1">
    <tableColumn id="1" xr3:uid="{7DE73DBA-13D9-4009-9574-50DFB4708AD8}" name="Complementaria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72E18C-2A66-4BF0-A2F4-778139A4D50F}" name="t_Normal" displayName="t_Normal" ref="E1:E2" totalsRowShown="0">
  <autoFilter ref="E1:E2" xr:uid="{3B72E18C-2A66-4BF0-A2F4-778139A4D50F}"/>
  <tableColumns count="1">
    <tableColumn id="1" xr3:uid="{1291CD83-0C6B-44C5-9B07-F3EAFBFB362A}" name="Normal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5F72E6-104C-4E38-AEB4-619FA3DBC344}" name="t_Diot" displayName="t_Diot" ref="G1:G3" totalsRowShown="0">
  <autoFilter ref="G1:G3" xr:uid="{D75F72E6-104C-4E38-AEB4-619FA3DBC344}"/>
  <tableColumns count="1">
    <tableColumn id="1" xr3:uid="{2EE4BD0C-04B6-4F1F-A1BA-C4137003A1EE}" name="DIO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3"/>
    <pageSetUpPr fitToPage="1"/>
  </sheetPr>
  <dimension ref="A1:AA190"/>
  <sheetViews>
    <sheetView showGridLines="0" tabSelected="1" zoomScaleNormal="100" workbookViewId="0">
      <pane xSplit="7" ySplit="3" topLeftCell="H69" activePane="bottomRight" state="frozen"/>
      <selection pane="topRight" activeCell="H1" sqref="H1"/>
      <selection pane="bottomLeft" activeCell="A4" sqref="A4"/>
      <selection pane="bottomRight"/>
    </sheetView>
  </sheetViews>
  <sheetFormatPr baseColWidth="10" defaultColWidth="9.08984375" defaultRowHeight="11.5" outlineLevelRow="1"/>
  <cols>
    <col min="1" max="1" width="11.6328125" style="1" customWidth="1"/>
    <col min="2" max="2" width="12.90625" style="1" customWidth="1"/>
    <col min="3" max="4" width="13.54296875" style="1" customWidth="1"/>
    <col min="5" max="5" width="15" style="1" bestFit="1" customWidth="1"/>
    <col min="6" max="6" width="12.54296875" style="1" customWidth="1"/>
    <col min="7" max="7" width="8.08984375" style="1" bestFit="1" customWidth="1"/>
    <col min="8" max="8" width="14.54296875" style="1" bestFit="1" customWidth="1"/>
    <col min="9" max="10" width="9.36328125" style="1" bestFit="1" customWidth="1"/>
    <col min="11" max="11" width="10.90625" style="1" bestFit="1" customWidth="1"/>
    <col min="12" max="12" width="10.453125" style="1" bestFit="1" customWidth="1"/>
    <col min="13" max="13" width="15.54296875" style="1" customWidth="1"/>
    <col min="14" max="14" width="13.6328125" style="1" customWidth="1"/>
    <col min="15" max="15" width="12.08984375" style="1" customWidth="1"/>
    <col min="16" max="16" width="3.453125" style="1" customWidth="1"/>
    <col min="17" max="17" width="14.90625" style="1" bestFit="1" customWidth="1"/>
    <col min="18" max="18" width="12.6328125" style="2" customWidth="1"/>
    <col min="19" max="19" width="23.08984375" style="1" bestFit="1" customWidth="1"/>
    <col min="20" max="20" width="28.54296875" style="1" customWidth="1"/>
    <col min="21" max="21" width="15.54296875" style="2" customWidth="1"/>
    <col min="22" max="22" width="27" style="1" bestFit="1" customWidth="1"/>
    <col min="23" max="23" width="24.6328125" style="1" bestFit="1" customWidth="1"/>
    <col min="24" max="24" width="24.6328125" style="1" customWidth="1"/>
    <col min="25" max="25" width="34.453125" style="1" bestFit="1" customWidth="1"/>
    <col min="26" max="26" width="3.36328125" style="11" bestFit="1" customWidth="1"/>
    <col min="27" max="27" width="2.54296875" style="1" customWidth="1"/>
    <col min="28" max="16384" width="9.08984375" style="1"/>
  </cols>
  <sheetData>
    <row r="1" spans="1:27" s="48" customFormat="1">
      <c r="A1" s="54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72"/>
      <c r="O1" s="72"/>
      <c r="P1" s="58" t="s">
        <v>45</v>
      </c>
      <c r="Q1" s="58"/>
      <c r="R1" s="58"/>
      <c r="S1" s="58"/>
      <c r="T1" s="58"/>
      <c r="U1" s="58"/>
      <c r="V1" s="58"/>
      <c r="W1" s="58"/>
      <c r="X1" s="58"/>
      <c r="Y1" s="58"/>
      <c r="Z1" s="55"/>
      <c r="AA1" s="57"/>
    </row>
    <row r="2" spans="1:27" s="48" customFormat="1">
      <c r="A2" s="54" t="s">
        <v>85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72"/>
      <c r="O2" s="72"/>
      <c r="P2" s="58" t="s">
        <v>45</v>
      </c>
      <c r="Q2" s="58"/>
      <c r="R2" s="58"/>
      <c r="S2" s="58"/>
      <c r="T2" s="58"/>
      <c r="U2" s="58"/>
      <c r="V2" s="58"/>
      <c r="W2" s="58"/>
      <c r="X2" s="58"/>
      <c r="Y2" s="58"/>
      <c r="Z2" s="55"/>
      <c r="AA2" s="57"/>
    </row>
    <row r="3" spans="1:27" s="63" customFormat="1" ht="28.25" customHeight="1">
      <c r="A3" s="9" t="s">
        <v>19</v>
      </c>
      <c r="B3" s="9" t="s">
        <v>18</v>
      </c>
      <c r="C3" s="9" t="s">
        <v>59</v>
      </c>
      <c r="D3" s="9" t="s">
        <v>63</v>
      </c>
      <c r="E3" s="9" t="s">
        <v>61</v>
      </c>
      <c r="F3" s="9" t="s">
        <v>62</v>
      </c>
      <c r="G3" s="9" t="s">
        <v>64</v>
      </c>
      <c r="H3" s="9" t="s">
        <v>46</v>
      </c>
      <c r="I3" s="9" t="s">
        <v>15</v>
      </c>
      <c r="J3" s="9" t="s">
        <v>67</v>
      </c>
      <c r="K3" s="9" t="s">
        <v>65</v>
      </c>
      <c r="L3" s="9" t="s">
        <v>66</v>
      </c>
      <c r="M3" s="9" t="s">
        <v>76</v>
      </c>
      <c r="N3" s="9" t="s">
        <v>77</v>
      </c>
      <c r="O3" s="9" t="s">
        <v>78</v>
      </c>
      <c r="P3" s="8"/>
      <c r="Q3" s="67" t="s">
        <v>71</v>
      </c>
      <c r="R3" s="10" t="s">
        <v>73</v>
      </c>
      <c r="S3" s="10" t="s">
        <v>68</v>
      </c>
      <c r="T3" s="10" t="s">
        <v>69</v>
      </c>
      <c r="U3" s="10" t="s">
        <v>20</v>
      </c>
      <c r="V3" s="10" t="s">
        <v>16</v>
      </c>
      <c r="W3" s="10" t="s">
        <v>17</v>
      </c>
      <c r="X3" s="10" t="s">
        <v>81</v>
      </c>
      <c r="Y3" s="10" t="s">
        <v>82</v>
      </c>
      <c r="Z3" s="61"/>
      <c r="AA3" s="62"/>
    </row>
    <row r="4" spans="1:27" s="11" customFormat="1">
      <c r="R4" s="14"/>
      <c r="U4" s="14"/>
    </row>
    <row r="5" spans="1:27" s="21" customFormat="1">
      <c r="A5" s="21" t="s">
        <v>0</v>
      </c>
      <c r="B5" s="20"/>
      <c r="C5" s="20"/>
      <c r="D5" s="64"/>
      <c r="E5" s="66"/>
      <c r="F5" s="65"/>
      <c r="G5" s="23">
        <f>ROUND(E5*F5,0)</f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3">
        <f>G5+H5+I5+J5-K5-L5</f>
        <v>0</v>
      </c>
      <c r="N5" s="23">
        <v>0</v>
      </c>
      <c r="O5" s="73">
        <v>0</v>
      </c>
      <c r="P5" s="24"/>
      <c r="Q5" s="68"/>
      <c r="R5" s="41"/>
      <c r="S5" s="42"/>
      <c r="T5" s="42"/>
      <c r="U5" s="45"/>
      <c r="V5" s="42"/>
      <c r="W5" s="42"/>
      <c r="X5" s="26"/>
      <c r="Y5" s="42"/>
      <c r="Z5" s="15"/>
      <c r="AA5" s="3"/>
    </row>
    <row r="6" spans="1:27" s="21" customFormat="1" hidden="1" outlineLevel="1">
      <c r="A6" s="21" t="s">
        <v>0</v>
      </c>
      <c r="B6" s="20"/>
      <c r="C6" s="20"/>
      <c r="D6" s="64"/>
      <c r="E6" s="66"/>
      <c r="F6" s="65"/>
      <c r="G6" s="23">
        <f t="shared" ref="G6:G69" si="0">E6*F6</f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3">
        <f t="shared" ref="M6:M20" si="1">G6+H6+I6+J6-K6-L6</f>
        <v>0</v>
      </c>
      <c r="N6" s="23"/>
      <c r="O6" s="73">
        <f>H6+I6+J6+K6-L6-M6</f>
        <v>0</v>
      </c>
      <c r="P6" s="24"/>
      <c r="Q6" s="68"/>
      <c r="R6" s="41"/>
      <c r="S6" s="45"/>
      <c r="T6" s="42"/>
      <c r="U6" s="45"/>
      <c r="V6" s="42"/>
      <c r="W6" s="42"/>
      <c r="X6" s="42"/>
      <c r="Y6" s="42"/>
      <c r="Z6" s="15"/>
      <c r="AA6" s="44"/>
    </row>
    <row r="7" spans="1:27" s="21" customFormat="1" hidden="1" outlineLevel="1">
      <c r="A7" s="21" t="s">
        <v>0</v>
      </c>
      <c r="B7" s="20"/>
      <c r="C7" s="20"/>
      <c r="D7" s="64"/>
      <c r="E7" s="66"/>
      <c r="F7" s="65"/>
      <c r="G7" s="23">
        <f t="shared" si="0"/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3">
        <f t="shared" si="1"/>
        <v>0</v>
      </c>
      <c r="N7" s="23"/>
      <c r="O7" s="73">
        <f>H7+I7+J7+K7-L7-M7</f>
        <v>0</v>
      </c>
      <c r="P7" s="24"/>
      <c r="Q7" s="68"/>
      <c r="R7" s="41"/>
      <c r="S7" s="45"/>
      <c r="T7" s="42"/>
      <c r="U7" s="45"/>
      <c r="V7" s="42"/>
      <c r="W7" s="42"/>
      <c r="X7" s="42"/>
      <c r="Y7" s="42"/>
      <c r="Z7" s="15"/>
      <c r="AA7" s="44"/>
    </row>
    <row r="8" spans="1:27" s="21" customFormat="1" hidden="1" outlineLevel="1">
      <c r="A8" s="21" t="s">
        <v>0</v>
      </c>
      <c r="B8" s="20"/>
      <c r="C8" s="20"/>
      <c r="D8" s="64"/>
      <c r="E8" s="66"/>
      <c r="F8" s="65"/>
      <c r="G8" s="23">
        <f t="shared" si="0"/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3">
        <f t="shared" si="1"/>
        <v>0</v>
      </c>
      <c r="N8" s="23"/>
      <c r="O8" s="73">
        <f>H8+I8+J8+K8-L8-M8</f>
        <v>0</v>
      </c>
      <c r="P8" s="24"/>
      <c r="Q8" s="68"/>
      <c r="R8" s="41"/>
      <c r="S8" s="45"/>
      <c r="T8" s="42"/>
      <c r="U8" s="45"/>
      <c r="V8" s="42"/>
      <c r="W8" s="42"/>
      <c r="X8" s="42"/>
      <c r="Y8" s="42"/>
      <c r="Z8" s="15"/>
      <c r="AA8" s="44"/>
    </row>
    <row r="9" spans="1:27" s="21" customFormat="1" hidden="1" outlineLevel="1">
      <c r="A9" s="21" t="s">
        <v>0</v>
      </c>
      <c r="B9" s="20"/>
      <c r="C9" s="20"/>
      <c r="D9" s="64"/>
      <c r="E9" s="66"/>
      <c r="F9" s="65"/>
      <c r="G9" s="23">
        <f t="shared" si="0"/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3">
        <f t="shared" si="1"/>
        <v>0</v>
      </c>
      <c r="N9" s="23"/>
      <c r="O9" s="73">
        <f>H9+I9+J9+K9-L9-M9</f>
        <v>0</v>
      </c>
      <c r="P9" s="24"/>
      <c r="Q9" s="68"/>
      <c r="R9" s="41"/>
      <c r="S9" s="45"/>
      <c r="T9" s="42"/>
      <c r="U9" s="45"/>
      <c r="V9" s="42"/>
      <c r="W9" s="42"/>
      <c r="X9" s="42"/>
      <c r="Y9" s="42"/>
      <c r="Z9" s="15"/>
      <c r="AA9" s="44"/>
    </row>
    <row r="10" spans="1:27" s="21" customFormat="1" collapsed="1">
      <c r="B10" s="20"/>
      <c r="C10" s="20"/>
      <c r="D10" s="64"/>
      <c r="E10" s="66"/>
      <c r="F10" s="65"/>
      <c r="G10" s="23"/>
      <c r="H10" s="22"/>
      <c r="I10" s="22"/>
      <c r="J10" s="22"/>
      <c r="K10" s="22"/>
      <c r="L10" s="22"/>
      <c r="M10" s="23"/>
      <c r="N10" s="23"/>
      <c r="O10" s="73"/>
      <c r="P10" s="24"/>
      <c r="Q10" s="68"/>
      <c r="R10" s="41"/>
      <c r="S10" s="43"/>
      <c r="T10" s="43"/>
      <c r="U10" s="41"/>
      <c r="V10" s="25"/>
      <c r="W10" s="25"/>
      <c r="X10" s="25"/>
      <c r="Y10" s="25"/>
      <c r="Z10" s="15"/>
      <c r="AA10" s="25"/>
    </row>
    <row r="11" spans="1:27" s="21" customFormat="1">
      <c r="A11" s="21" t="s">
        <v>1</v>
      </c>
      <c r="B11" s="20"/>
      <c r="C11" s="20"/>
      <c r="D11" s="64"/>
      <c r="E11" s="66"/>
      <c r="F11" s="65"/>
      <c r="G11" s="23">
        <f>ROUND(E11*F11,0)</f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3">
        <f t="shared" si="1"/>
        <v>0</v>
      </c>
      <c r="N11" s="23">
        <v>0</v>
      </c>
      <c r="O11" s="73">
        <v>0</v>
      </c>
      <c r="P11" s="24"/>
      <c r="Q11" s="68"/>
      <c r="R11" s="41"/>
      <c r="S11" s="42"/>
      <c r="T11" s="42"/>
      <c r="U11" s="45"/>
      <c r="V11" s="42"/>
      <c r="W11" s="42"/>
      <c r="X11" s="26"/>
      <c r="Y11" s="42"/>
      <c r="Z11" s="15"/>
      <c r="AA11" s="42"/>
    </row>
    <row r="12" spans="1:27" s="21" customFormat="1" hidden="1" outlineLevel="1">
      <c r="A12" s="21" t="s">
        <v>1</v>
      </c>
      <c r="B12" s="20"/>
      <c r="C12" s="20"/>
      <c r="D12" s="64"/>
      <c r="E12" s="66"/>
      <c r="F12" s="65"/>
      <c r="G12" s="23">
        <f t="shared" si="0"/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3">
        <f t="shared" si="1"/>
        <v>0</v>
      </c>
      <c r="N12" s="23"/>
      <c r="O12" s="73">
        <f>H12+I12+J12+K12-L12-M12</f>
        <v>0</v>
      </c>
      <c r="P12" s="24"/>
      <c r="Q12" s="68"/>
      <c r="R12" s="41"/>
      <c r="S12" s="45"/>
      <c r="T12" s="42"/>
      <c r="U12" s="45"/>
      <c r="V12" s="42"/>
      <c r="W12" s="42"/>
      <c r="X12" s="42"/>
      <c r="Y12" s="42"/>
      <c r="Z12" s="15"/>
      <c r="AA12" s="42"/>
    </row>
    <row r="13" spans="1:27" s="21" customFormat="1" hidden="1" outlineLevel="1">
      <c r="A13" s="21" t="s">
        <v>1</v>
      </c>
      <c r="B13" s="20"/>
      <c r="C13" s="20"/>
      <c r="D13" s="64"/>
      <c r="E13" s="66"/>
      <c r="F13" s="65"/>
      <c r="G13" s="23">
        <f t="shared" si="0"/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3">
        <f t="shared" si="1"/>
        <v>0</v>
      </c>
      <c r="N13" s="23"/>
      <c r="O13" s="73">
        <f>H13+I13+J13+K13-L13-M13</f>
        <v>0</v>
      </c>
      <c r="P13" s="24"/>
      <c r="Q13" s="68"/>
      <c r="R13" s="41"/>
      <c r="S13" s="45"/>
      <c r="T13" s="42"/>
      <c r="U13" s="45"/>
      <c r="V13" s="42"/>
      <c r="W13" s="42"/>
      <c r="X13" s="42"/>
      <c r="Y13" s="42"/>
      <c r="Z13" s="15"/>
      <c r="AA13" s="42"/>
    </row>
    <row r="14" spans="1:27" s="21" customFormat="1" hidden="1" outlineLevel="1">
      <c r="A14" s="21" t="s">
        <v>1</v>
      </c>
      <c r="B14" s="20"/>
      <c r="C14" s="20"/>
      <c r="D14" s="64"/>
      <c r="E14" s="66"/>
      <c r="F14" s="65"/>
      <c r="G14" s="23">
        <f t="shared" si="0"/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3">
        <f t="shared" si="1"/>
        <v>0</v>
      </c>
      <c r="N14" s="23"/>
      <c r="O14" s="73">
        <f>H14+I14+J14+K14-L14-M14</f>
        <v>0</v>
      </c>
      <c r="P14" s="24"/>
      <c r="Q14" s="68"/>
      <c r="R14" s="41"/>
      <c r="S14" s="45"/>
      <c r="T14" s="42"/>
      <c r="U14" s="45"/>
      <c r="V14" s="42"/>
      <c r="W14" s="42"/>
      <c r="X14" s="42"/>
      <c r="Y14" s="42"/>
      <c r="Z14" s="15"/>
      <c r="AA14" s="42"/>
    </row>
    <row r="15" spans="1:27" s="21" customFormat="1" hidden="1" outlineLevel="1">
      <c r="A15" s="21" t="s">
        <v>1</v>
      </c>
      <c r="B15" s="20"/>
      <c r="C15" s="20"/>
      <c r="D15" s="64"/>
      <c r="E15" s="66"/>
      <c r="F15" s="65"/>
      <c r="G15" s="23">
        <f t="shared" si="0"/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3">
        <f t="shared" si="1"/>
        <v>0</v>
      </c>
      <c r="N15" s="23"/>
      <c r="O15" s="73">
        <f>H15+I15+J15+K15-L15-M15</f>
        <v>0</v>
      </c>
      <c r="P15" s="24"/>
      <c r="Q15" s="68"/>
      <c r="R15" s="41"/>
      <c r="S15" s="45"/>
      <c r="T15" s="42"/>
      <c r="U15" s="45"/>
      <c r="V15" s="42"/>
      <c r="W15" s="42"/>
      <c r="X15" s="42"/>
      <c r="Y15" s="42"/>
      <c r="Z15" s="15"/>
      <c r="AA15" s="42"/>
    </row>
    <row r="16" spans="1:27" s="21" customFormat="1" collapsed="1">
      <c r="B16" s="20"/>
      <c r="C16" s="20"/>
      <c r="D16" s="64"/>
      <c r="E16" s="66"/>
      <c r="F16" s="65"/>
      <c r="G16" s="23"/>
      <c r="H16" s="22"/>
      <c r="I16" s="22"/>
      <c r="J16" s="22"/>
      <c r="K16" s="22"/>
      <c r="L16" s="22"/>
      <c r="M16" s="23"/>
      <c r="N16" s="23"/>
      <c r="O16" s="73"/>
      <c r="P16" s="24"/>
      <c r="Q16" s="68"/>
      <c r="R16" s="41"/>
      <c r="S16" s="45"/>
      <c r="T16" s="42"/>
      <c r="U16" s="45"/>
      <c r="V16" s="42"/>
      <c r="W16" s="42"/>
      <c r="X16" s="42"/>
      <c r="Y16" s="42"/>
      <c r="Z16" s="15"/>
      <c r="AA16" s="42"/>
    </row>
    <row r="17" spans="1:27" s="21" customFormat="1">
      <c r="A17" s="21" t="s">
        <v>2</v>
      </c>
      <c r="B17" s="20"/>
      <c r="C17" s="20"/>
      <c r="D17" s="64"/>
      <c r="E17" s="66"/>
      <c r="F17" s="65"/>
      <c r="G17" s="23">
        <f>ROUND(E17*F17,0)</f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3">
        <f t="shared" si="1"/>
        <v>0</v>
      </c>
      <c r="N17" s="23">
        <v>0</v>
      </c>
      <c r="O17" s="73">
        <v>0</v>
      </c>
      <c r="P17" s="24"/>
      <c r="Q17" s="68"/>
      <c r="R17" s="41"/>
      <c r="S17" s="42"/>
      <c r="T17" s="42"/>
      <c r="U17" s="45"/>
      <c r="V17" s="42"/>
      <c r="W17" s="42"/>
      <c r="X17" s="26"/>
      <c r="Y17" s="42"/>
      <c r="Z17" s="15"/>
      <c r="AA17" s="42"/>
    </row>
    <row r="18" spans="1:27" s="21" customFormat="1" hidden="1" outlineLevel="1">
      <c r="A18" s="21" t="s">
        <v>2</v>
      </c>
      <c r="B18" s="20"/>
      <c r="C18" s="20"/>
      <c r="D18" s="64"/>
      <c r="E18" s="66"/>
      <c r="F18" s="65"/>
      <c r="G18" s="23">
        <f t="shared" si="0"/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3">
        <f t="shared" si="1"/>
        <v>0</v>
      </c>
      <c r="N18" s="23"/>
      <c r="O18" s="73">
        <f>H18+I18+J18+K18-L18-M18</f>
        <v>0</v>
      </c>
      <c r="P18" s="24"/>
      <c r="Q18" s="68"/>
      <c r="R18" s="41"/>
      <c r="S18" s="44"/>
      <c r="T18" s="42"/>
      <c r="U18" s="45"/>
      <c r="V18" s="42"/>
      <c r="W18" s="42"/>
      <c r="X18" s="42"/>
      <c r="Y18" s="42"/>
      <c r="Z18" s="15"/>
      <c r="AA18" s="42"/>
    </row>
    <row r="19" spans="1:27" s="21" customFormat="1" hidden="1" outlineLevel="1">
      <c r="A19" s="21" t="s">
        <v>2</v>
      </c>
      <c r="B19" s="20"/>
      <c r="C19" s="20"/>
      <c r="D19" s="64"/>
      <c r="E19" s="66"/>
      <c r="F19" s="65"/>
      <c r="G19" s="23">
        <f t="shared" si="0"/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3">
        <f t="shared" si="1"/>
        <v>0</v>
      </c>
      <c r="N19" s="23"/>
      <c r="O19" s="73">
        <f>H19+I19+J19+K19-L19-M19</f>
        <v>0</v>
      </c>
      <c r="P19" s="24"/>
      <c r="Q19" s="68"/>
      <c r="R19" s="41"/>
      <c r="S19" s="44"/>
      <c r="T19" s="42"/>
      <c r="U19" s="45"/>
      <c r="V19" s="42"/>
      <c r="W19" s="42"/>
      <c r="X19" s="42"/>
      <c r="Y19" s="42"/>
      <c r="Z19" s="15"/>
      <c r="AA19" s="42"/>
    </row>
    <row r="20" spans="1:27" s="21" customFormat="1" hidden="1" outlineLevel="1">
      <c r="A20" s="21" t="s">
        <v>2</v>
      </c>
      <c r="B20" s="20"/>
      <c r="C20" s="20"/>
      <c r="D20" s="64"/>
      <c r="E20" s="66"/>
      <c r="F20" s="65"/>
      <c r="G20" s="23">
        <f t="shared" si="0"/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3">
        <f t="shared" si="1"/>
        <v>0</v>
      </c>
      <c r="N20" s="23"/>
      <c r="O20" s="73">
        <f>H20+I20+J20+K20-L20-M20</f>
        <v>0</v>
      </c>
      <c r="P20" s="24"/>
      <c r="Q20" s="68"/>
      <c r="R20" s="41"/>
      <c r="S20" s="44"/>
      <c r="T20" s="42"/>
      <c r="U20" s="45"/>
      <c r="V20" s="42"/>
      <c r="W20" s="42"/>
      <c r="X20" s="42"/>
      <c r="Y20" s="42"/>
      <c r="Z20" s="15"/>
      <c r="AA20" s="42"/>
    </row>
    <row r="21" spans="1:27" s="21" customFormat="1" hidden="1" outlineLevel="1">
      <c r="B21" s="20"/>
      <c r="C21" s="20"/>
      <c r="D21" s="64"/>
      <c r="E21" s="66"/>
      <c r="F21" s="65"/>
      <c r="G21" s="23"/>
      <c r="H21" s="22"/>
      <c r="I21" s="22"/>
      <c r="J21" s="22"/>
      <c r="K21" s="22"/>
      <c r="L21" s="22"/>
      <c r="M21" s="23"/>
      <c r="N21" s="23"/>
      <c r="O21" s="73"/>
      <c r="P21" s="24"/>
      <c r="Q21" s="68"/>
      <c r="R21" s="41"/>
      <c r="S21" s="44"/>
      <c r="T21" s="42"/>
      <c r="U21" s="45"/>
      <c r="V21" s="42"/>
      <c r="W21" s="42"/>
      <c r="X21" s="42"/>
      <c r="Y21" s="42"/>
      <c r="Z21" s="15"/>
      <c r="AA21" s="42"/>
    </row>
    <row r="22" spans="1:27" s="21" customFormat="1" collapsed="1">
      <c r="B22" s="20"/>
      <c r="C22" s="20"/>
      <c r="D22" s="64"/>
      <c r="E22" s="66"/>
      <c r="F22" s="65"/>
      <c r="G22" s="23"/>
      <c r="H22" s="22"/>
      <c r="I22" s="22"/>
      <c r="J22" s="22"/>
      <c r="K22" s="22"/>
      <c r="L22" s="22"/>
      <c r="M22" s="23"/>
      <c r="N22" s="23"/>
      <c r="O22" s="73"/>
      <c r="P22" s="24"/>
      <c r="Q22" s="68"/>
      <c r="R22" s="41"/>
      <c r="S22" s="25"/>
      <c r="T22" s="43"/>
      <c r="U22" s="41"/>
      <c r="V22" s="25"/>
      <c r="W22" s="25"/>
      <c r="X22" s="25"/>
      <c r="Y22" s="25"/>
      <c r="Z22" s="15"/>
      <c r="AA22" s="25"/>
    </row>
    <row r="23" spans="1:27" s="21" customFormat="1">
      <c r="A23" s="21" t="s">
        <v>3</v>
      </c>
      <c r="B23" s="20"/>
      <c r="C23" s="20"/>
      <c r="D23" s="64"/>
      <c r="E23" s="66"/>
      <c r="F23" s="65"/>
      <c r="G23" s="23">
        <f>ROUND(E23*F23,0)</f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3">
        <f t="shared" ref="M23:M75" si="2">G23+H23+I23+J23-K23-L23</f>
        <v>0</v>
      </c>
      <c r="N23" s="23">
        <v>0</v>
      </c>
      <c r="O23" s="73">
        <v>0</v>
      </c>
      <c r="P23" s="24"/>
      <c r="Q23" s="68"/>
      <c r="R23" s="41"/>
      <c r="S23" s="42"/>
      <c r="T23" s="42"/>
      <c r="U23" s="41"/>
      <c r="V23" s="42"/>
      <c r="W23" s="42"/>
      <c r="X23" s="26"/>
      <c r="Y23" s="42"/>
      <c r="Z23" s="15"/>
      <c r="AA23" s="42"/>
    </row>
    <row r="24" spans="1:27" s="21" customFormat="1" hidden="1" outlineLevel="1">
      <c r="A24" s="21" t="s">
        <v>3</v>
      </c>
      <c r="B24" s="20"/>
      <c r="C24" s="20"/>
      <c r="D24" s="64"/>
      <c r="E24" s="66"/>
      <c r="F24" s="65"/>
      <c r="G24" s="23">
        <f t="shared" si="0"/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3">
        <f t="shared" si="2"/>
        <v>0</v>
      </c>
      <c r="N24" s="23"/>
      <c r="O24" s="73">
        <f>H24+I24+J24+K24-L24-M24</f>
        <v>0</v>
      </c>
      <c r="P24" s="24"/>
      <c r="Q24" s="68"/>
      <c r="R24" s="41"/>
      <c r="S24" s="42"/>
      <c r="T24" s="42"/>
      <c r="U24" s="41"/>
      <c r="V24" s="42"/>
      <c r="W24" s="42"/>
      <c r="X24" s="42"/>
      <c r="Y24" s="42"/>
      <c r="Z24" s="15"/>
      <c r="AA24" s="42"/>
    </row>
    <row r="25" spans="1:27" s="21" customFormat="1" hidden="1" outlineLevel="1">
      <c r="A25" s="21" t="s">
        <v>3</v>
      </c>
      <c r="B25" s="20"/>
      <c r="C25" s="20"/>
      <c r="D25" s="64"/>
      <c r="E25" s="66"/>
      <c r="F25" s="65"/>
      <c r="G25" s="23">
        <f t="shared" si="0"/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f t="shared" si="2"/>
        <v>0</v>
      </c>
      <c r="N25" s="23"/>
      <c r="O25" s="73">
        <f>H25+I25+J25+K25-L25-M25</f>
        <v>0</v>
      </c>
      <c r="P25" s="24"/>
      <c r="Q25" s="68"/>
      <c r="R25" s="41"/>
      <c r="S25" s="42"/>
      <c r="T25" s="42"/>
      <c r="U25" s="41"/>
      <c r="V25" s="42"/>
      <c r="W25" s="42"/>
      <c r="X25" s="42"/>
      <c r="Y25" s="42"/>
      <c r="Z25" s="15"/>
      <c r="AA25" s="42"/>
    </row>
    <row r="26" spans="1:27" s="21" customFormat="1" hidden="1" outlineLevel="1">
      <c r="A26" s="21" t="s">
        <v>3</v>
      </c>
      <c r="B26" s="20"/>
      <c r="C26" s="20"/>
      <c r="D26" s="64"/>
      <c r="E26" s="66"/>
      <c r="F26" s="65"/>
      <c r="G26" s="23">
        <f t="shared" si="0"/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3">
        <f t="shared" si="2"/>
        <v>0</v>
      </c>
      <c r="N26" s="23"/>
      <c r="O26" s="73">
        <f>H26+I26+J26+K26-L26-M26</f>
        <v>0</v>
      </c>
      <c r="P26" s="24"/>
      <c r="Q26" s="68"/>
      <c r="R26" s="41"/>
      <c r="S26" s="42"/>
      <c r="T26" s="42"/>
      <c r="U26" s="41"/>
      <c r="V26" s="42"/>
      <c r="W26" s="42"/>
      <c r="X26" s="42"/>
      <c r="Y26" s="42"/>
      <c r="Z26" s="15"/>
      <c r="AA26" s="42"/>
    </row>
    <row r="27" spans="1:27" s="21" customFormat="1" hidden="1" outlineLevel="1">
      <c r="A27" s="21" t="s">
        <v>3</v>
      </c>
      <c r="B27" s="20"/>
      <c r="C27" s="20"/>
      <c r="D27" s="64"/>
      <c r="E27" s="66"/>
      <c r="F27" s="65"/>
      <c r="G27" s="23">
        <f t="shared" si="0"/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f t="shared" si="2"/>
        <v>0</v>
      </c>
      <c r="N27" s="23"/>
      <c r="O27" s="73">
        <f>H27+I27+J27+K27-L27-M27</f>
        <v>0</v>
      </c>
      <c r="P27" s="24"/>
      <c r="Q27" s="68"/>
      <c r="R27" s="41"/>
      <c r="S27" s="42"/>
      <c r="T27" s="42"/>
      <c r="U27" s="41"/>
      <c r="V27" s="42"/>
      <c r="W27" s="42"/>
      <c r="X27" s="42"/>
      <c r="Y27" s="42"/>
      <c r="Z27" s="15"/>
      <c r="AA27" s="42"/>
    </row>
    <row r="28" spans="1:27" s="21" customFormat="1" collapsed="1">
      <c r="B28" s="20"/>
      <c r="C28" s="20"/>
      <c r="D28" s="64"/>
      <c r="E28" s="66"/>
      <c r="F28" s="65"/>
      <c r="G28" s="23"/>
      <c r="H28" s="22"/>
      <c r="I28" s="22"/>
      <c r="J28" s="22"/>
      <c r="K28" s="22"/>
      <c r="L28" s="22"/>
      <c r="M28" s="23"/>
      <c r="N28" s="23"/>
      <c r="O28" s="73"/>
      <c r="P28" s="24"/>
      <c r="Q28" s="68"/>
      <c r="R28" s="41"/>
      <c r="S28" s="25"/>
      <c r="T28" s="43"/>
      <c r="U28" s="41"/>
      <c r="V28" s="25"/>
      <c r="W28" s="25"/>
      <c r="X28" s="25"/>
      <c r="Y28" s="25"/>
      <c r="Z28" s="15"/>
      <c r="AA28" s="25"/>
    </row>
    <row r="29" spans="1:27" s="21" customFormat="1">
      <c r="A29" s="21" t="s">
        <v>4</v>
      </c>
      <c r="B29" s="20"/>
      <c r="C29" s="20"/>
      <c r="D29" s="64"/>
      <c r="E29" s="66"/>
      <c r="F29" s="65"/>
      <c r="G29" s="23">
        <f>ROUND(E29*F29,0)</f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3">
        <f t="shared" si="2"/>
        <v>0</v>
      </c>
      <c r="N29" s="23">
        <v>0</v>
      </c>
      <c r="O29" s="73">
        <v>0</v>
      </c>
      <c r="P29" s="24"/>
      <c r="Q29" s="68"/>
      <c r="R29" s="41"/>
      <c r="S29" s="42"/>
      <c r="T29" s="42"/>
      <c r="U29" s="45"/>
      <c r="V29" s="42"/>
      <c r="W29" s="42"/>
      <c r="X29" s="26"/>
      <c r="Y29" s="42"/>
      <c r="Z29" s="15"/>
      <c r="AA29" s="42"/>
    </row>
    <row r="30" spans="1:27" s="21" customFormat="1" hidden="1" outlineLevel="1">
      <c r="A30" s="21" t="s">
        <v>4</v>
      </c>
      <c r="B30" s="20"/>
      <c r="C30" s="20"/>
      <c r="D30" s="64"/>
      <c r="E30" s="66"/>
      <c r="F30" s="65"/>
      <c r="G30" s="23">
        <f t="shared" si="0"/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3">
        <f t="shared" si="2"/>
        <v>0</v>
      </c>
      <c r="N30" s="23"/>
      <c r="O30" s="73">
        <f>H30+I30+J30+K30-L30-M30</f>
        <v>0</v>
      </c>
      <c r="P30" s="24"/>
      <c r="Q30" s="68"/>
      <c r="R30" s="41"/>
      <c r="S30" s="42"/>
      <c r="T30" s="42"/>
      <c r="U30" s="45"/>
      <c r="V30" s="26"/>
      <c r="W30" s="42"/>
      <c r="X30" s="42"/>
      <c r="Y30" s="42"/>
      <c r="Z30" s="15"/>
      <c r="AA30" s="42"/>
    </row>
    <row r="31" spans="1:27" s="21" customFormat="1" hidden="1" outlineLevel="1">
      <c r="A31" s="21" t="s">
        <v>4</v>
      </c>
      <c r="B31" s="20"/>
      <c r="C31" s="20"/>
      <c r="D31" s="64"/>
      <c r="E31" s="66"/>
      <c r="F31" s="65"/>
      <c r="G31" s="23">
        <f t="shared" si="0"/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3">
        <f t="shared" si="2"/>
        <v>0</v>
      </c>
      <c r="N31" s="23"/>
      <c r="O31" s="73">
        <f>H31+I31+J31+K31-L31-M31</f>
        <v>0</v>
      </c>
      <c r="P31" s="24"/>
      <c r="Q31" s="68"/>
      <c r="R31" s="41"/>
      <c r="S31" s="42"/>
      <c r="T31" s="42"/>
      <c r="U31" s="45"/>
      <c r="V31" s="26"/>
      <c r="W31" s="42"/>
      <c r="X31" s="42"/>
      <c r="Y31" s="42"/>
      <c r="Z31" s="15"/>
      <c r="AA31" s="42"/>
    </row>
    <row r="32" spans="1:27" s="21" customFormat="1" hidden="1" outlineLevel="1">
      <c r="A32" s="21" t="s">
        <v>4</v>
      </c>
      <c r="B32" s="20"/>
      <c r="C32" s="20"/>
      <c r="D32" s="64"/>
      <c r="E32" s="66"/>
      <c r="F32" s="65"/>
      <c r="G32" s="23">
        <f t="shared" si="0"/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f t="shared" si="2"/>
        <v>0</v>
      </c>
      <c r="N32" s="23"/>
      <c r="O32" s="73">
        <f>H32+I32+J32+K32-L32-M32</f>
        <v>0</v>
      </c>
      <c r="P32" s="24"/>
      <c r="Q32" s="68"/>
      <c r="R32" s="41"/>
      <c r="S32" s="42"/>
      <c r="T32" s="42"/>
      <c r="U32" s="45"/>
      <c r="V32" s="26"/>
      <c r="W32" s="42"/>
      <c r="X32" s="42"/>
      <c r="Y32" s="42"/>
      <c r="Z32" s="15"/>
      <c r="AA32" s="42"/>
    </row>
    <row r="33" spans="1:27" s="21" customFormat="1" hidden="1" outlineLevel="1">
      <c r="A33" s="21" t="s">
        <v>4</v>
      </c>
      <c r="B33" s="20"/>
      <c r="C33" s="20"/>
      <c r="D33" s="64"/>
      <c r="E33" s="66"/>
      <c r="F33" s="65"/>
      <c r="G33" s="23">
        <f t="shared" si="0"/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f t="shared" si="2"/>
        <v>0</v>
      </c>
      <c r="N33" s="23"/>
      <c r="O33" s="73">
        <f>H33+I33+J33+K33-L33-M33</f>
        <v>0</v>
      </c>
      <c r="P33" s="24"/>
      <c r="Q33" s="68"/>
      <c r="R33" s="41"/>
      <c r="S33" s="42"/>
      <c r="T33" s="42"/>
      <c r="U33" s="45"/>
      <c r="V33" s="26"/>
      <c r="W33" s="42"/>
      <c r="X33" s="42"/>
      <c r="Y33" s="42"/>
      <c r="Z33" s="15"/>
      <c r="AA33" s="42"/>
    </row>
    <row r="34" spans="1:27" s="21" customFormat="1" collapsed="1">
      <c r="B34" s="20"/>
      <c r="C34" s="20"/>
      <c r="D34" s="64"/>
      <c r="E34" s="66"/>
      <c r="F34" s="65"/>
      <c r="G34" s="23"/>
      <c r="H34" s="22"/>
      <c r="I34" s="22"/>
      <c r="J34" s="22"/>
      <c r="K34" s="22"/>
      <c r="L34" s="22"/>
      <c r="M34" s="23"/>
      <c r="N34" s="23"/>
      <c r="O34" s="73"/>
      <c r="P34" s="24"/>
      <c r="Q34" s="68"/>
      <c r="R34" s="41"/>
      <c r="S34" s="25"/>
      <c r="T34" s="43"/>
      <c r="U34" s="41"/>
      <c r="V34" s="25"/>
      <c r="W34" s="25"/>
      <c r="X34" s="25"/>
      <c r="Y34" s="25"/>
      <c r="Z34" s="15"/>
      <c r="AA34" s="25"/>
    </row>
    <row r="35" spans="1:27" s="21" customFormat="1">
      <c r="A35" s="21" t="s">
        <v>5</v>
      </c>
      <c r="B35" s="20"/>
      <c r="C35" s="20"/>
      <c r="D35" s="64"/>
      <c r="E35" s="66"/>
      <c r="F35" s="65"/>
      <c r="G35" s="23">
        <f>ROUND(E35*F35,0)</f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3">
        <f t="shared" si="2"/>
        <v>0</v>
      </c>
      <c r="N35" s="23">
        <v>0</v>
      </c>
      <c r="O35" s="73">
        <v>0</v>
      </c>
      <c r="P35" s="24"/>
      <c r="Q35" s="68"/>
      <c r="R35" s="41"/>
      <c r="S35" s="42"/>
      <c r="T35" s="42"/>
      <c r="U35" s="45"/>
      <c r="V35" s="42"/>
      <c r="W35" s="42"/>
      <c r="X35" s="26"/>
      <c r="Y35" s="42"/>
      <c r="Z35" s="15"/>
      <c r="AA35" s="42"/>
    </row>
    <row r="36" spans="1:27" s="21" customFormat="1" hidden="1" outlineLevel="1">
      <c r="A36" s="21" t="s">
        <v>5</v>
      </c>
      <c r="B36" s="20"/>
      <c r="C36" s="20"/>
      <c r="D36" s="64"/>
      <c r="E36" s="66"/>
      <c r="F36" s="65"/>
      <c r="G36" s="23">
        <f t="shared" si="0"/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3">
        <f t="shared" si="2"/>
        <v>0</v>
      </c>
      <c r="N36" s="23"/>
      <c r="O36" s="73">
        <f>H36+I36+J36+K36-L36-M36</f>
        <v>0</v>
      </c>
      <c r="P36" s="24"/>
      <c r="Q36" s="68"/>
      <c r="R36" s="41"/>
      <c r="S36" s="42"/>
      <c r="T36" s="42"/>
      <c r="U36" s="45"/>
      <c r="V36" s="26"/>
      <c r="W36" s="42"/>
      <c r="X36" s="42"/>
      <c r="Y36" s="42"/>
      <c r="Z36" s="15"/>
      <c r="AA36" s="42"/>
    </row>
    <row r="37" spans="1:27" s="21" customFormat="1" hidden="1" outlineLevel="1">
      <c r="A37" s="21" t="s">
        <v>5</v>
      </c>
      <c r="B37" s="20"/>
      <c r="C37" s="20"/>
      <c r="D37" s="64"/>
      <c r="E37" s="66"/>
      <c r="F37" s="65"/>
      <c r="G37" s="23">
        <f t="shared" si="0"/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3">
        <f t="shared" si="2"/>
        <v>0</v>
      </c>
      <c r="N37" s="23"/>
      <c r="O37" s="73">
        <f>H37+I37+J37+K37-L37-M37</f>
        <v>0</v>
      </c>
      <c r="P37" s="24"/>
      <c r="Q37" s="68"/>
      <c r="R37" s="41"/>
      <c r="S37" s="42"/>
      <c r="T37" s="42"/>
      <c r="U37" s="45"/>
      <c r="V37" s="26"/>
      <c r="W37" s="42"/>
      <c r="X37" s="42"/>
      <c r="Y37" s="42"/>
      <c r="Z37" s="15"/>
      <c r="AA37" s="42"/>
    </row>
    <row r="38" spans="1:27" s="21" customFormat="1" hidden="1" outlineLevel="1">
      <c r="A38" s="21" t="s">
        <v>5</v>
      </c>
      <c r="B38" s="20"/>
      <c r="C38" s="20"/>
      <c r="D38" s="64"/>
      <c r="E38" s="66"/>
      <c r="F38" s="65"/>
      <c r="G38" s="23">
        <f t="shared" si="0"/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3">
        <f t="shared" si="2"/>
        <v>0</v>
      </c>
      <c r="N38" s="23"/>
      <c r="O38" s="73">
        <f>H38+I38+J38+K38-L38-M38</f>
        <v>0</v>
      </c>
      <c r="P38" s="24"/>
      <c r="Q38" s="68"/>
      <c r="R38" s="41"/>
      <c r="S38" s="42"/>
      <c r="T38" s="42"/>
      <c r="U38" s="45"/>
      <c r="V38" s="26"/>
      <c r="W38" s="42"/>
      <c r="X38" s="42"/>
      <c r="Y38" s="42"/>
      <c r="Z38" s="15"/>
      <c r="AA38" s="42"/>
    </row>
    <row r="39" spans="1:27" s="21" customFormat="1" hidden="1" outlineLevel="1">
      <c r="A39" s="21" t="s">
        <v>5</v>
      </c>
      <c r="B39" s="20"/>
      <c r="C39" s="20"/>
      <c r="D39" s="64"/>
      <c r="E39" s="66"/>
      <c r="F39" s="65"/>
      <c r="G39" s="23">
        <f t="shared" si="0"/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3">
        <f t="shared" si="2"/>
        <v>0</v>
      </c>
      <c r="N39" s="23"/>
      <c r="O39" s="73">
        <f>H39+I39+J39+K39-L39-M39</f>
        <v>0</v>
      </c>
      <c r="P39" s="24"/>
      <c r="Q39" s="68"/>
      <c r="R39" s="41"/>
      <c r="S39" s="42"/>
      <c r="T39" s="42"/>
      <c r="U39" s="45"/>
      <c r="V39" s="26"/>
      <c r="W39" s="42"/>
      <c r="X39" s="42"/>
      <c r="Y39" s="42"/>
      <c r="Z39" s="15"/>
      <c r="AA39" s="42"/>
    </row>
    <row r="40" spans="1:27" s="21" customFormat="1" collapsed="1">
      <c r="B40" s="20"/>
      <c r="C40" s="20"/>
      <c r="D40" s="64"/>
      <c r="E40" s="66"/>
      <c r="F40" s="65"/>
      <c r="G40" s="23"/>
      <c r="H40" s="22"/>
      <c r="I40" s="22"/>
      <c r="J40" s="22"/>
      <c r="K40" s="22"/>
      <c r="L40" s="22"/>
      <c r="M40" s="23"/>
      <c r="N40" s="23"/>
      <c r="O40" s="73"/>
      <c r="P40" s="24"/>
      <c r="Q40" s="68"/>
      <c r="R40" s="41"/>
      <c r="S40" s="42"/>
      <c r="T40" s="42"/>
      <c r="U40" s="45"/>
      <c r="V40" s="42"/>
      <c r="W40" s="42"/>
      <c r="X40" s="42"/>
      <c r="Y40" s="42"/>
      <c r="Z40" s="15"/>
      <c r="AA40" s="42"/>
    </row>
    <row r="41" spans="1:27" s="21" customFormat="1">
      <c r="A41" s="21" t="s">
        <v>6</v>
      </c>
      <c r="B41" s="20"/>
      <c r="C41" s="20"/>
      <c r="D41" s="64"/>
      <c r="E41" s="66"/>
      <c r="F41" s="65"/>
      <c r="G41" s="23">
        <f>ROUND(E41*F41,0)</f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3">
        <f t="shared" si="2"/>
        <v>0</v>
      </c>
      <c r="N41" s="23">
        <v>0</v>
      </c>
      <c r="O41" s="73">
        <v>0</v>
      </c>
      <c r="P41" s="24"/>
      <c r="Q41" s="68"/>
      <c r="R41" s="41"/>
      <c r="S41" s="42"/>
      <c r="T41" s="42"/>
      <c r="U41" s="45"/>
      <c r="V41" s="42"/>
      <c r="W41" s="42"/>
      <c r="X41" s="26"/>
      <c r="Y41" s="42"/>
      <c r="Z41" s="15"/>
      <c r="AA41" s="42"/>
    </row>
    <row r="42" spans="1:27" s="21" customFormat="1" hidden="1" outlineLevel="1">
      <c r="A42" s="21" t="s">
        <v>6</v>
      </c>
      <c r="B42" s="20"/>
      <c r="C42" s="20"/>
      <c r="D42" s="64"/>
      <c r="E42" s="66"/>
      <c r="F42" s="65"/>
      <c r="G42" s="23">
        <f t="shared" si="0"/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3">
        <f t="shared" si="2"/>
        <v>0</v>
      </c>
      <c r="N42" s="23">
        <v>0</v>
      </c>
      <c r="O42" s="73">
        <f>H42+I42+J42+K42-L42-M42</f>
        <v>0</v>
      </c>
      <c r="P42" s="24"/>
      <c r="Q42" s="68"/>
      <c r="R42" s="41"/>
      <c r="S42" s="42"/>
      <c r="T42" s="42"/>
      <c r="U42" s="45"/>
      <c r="V42" s="26"/>
      <c r="W42" s="42"/>
      <c r="X42" s="42"/>
      <c r="Y42" s="42"/>
      <c r="Z42" s="15"/>
      <c r="AA42" s="42"/>
    </row>
    <row r="43" spans="1:27" s="21" customFormat="1" hidden="1" outlineLevel="1">
      <c r="A43" s="21" t="s">
        <v>6</v>
      </c>
      <c r="B43" s="20"/>
      <c r="C43" s="20"/>
      <c r="D43" s="64"/>
      <c r="E43" s="66"/>
      <c r="F43" s="65"/>
      <c r="G43" s="23">
        <f t="shared" si="0"/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3">
        <f t="shared" si="2"/>
        <v>0</v>
      </c>
      <c r="N43" s="23">
        <v>0</v>
      </c>
      <c r="O43" s="73">
        <f>H43+I43+J43+K43-L43-M43</f>
        <v>0</v>
      </c>
      <c r="P43" s="24"/>
      <c r="Q43" s="68"/>
      <c r="R43" s="41"/>
      <c r="S43" s="42"/>
      <c r="T43" s="42"/>
      <c r="U43" s="45"/>
      <c r="V43" s="26"/>
      <c r="W43" s="42"/>
      <c r="X43" s="42"/>
      <c r="Y43" s="42"/>
      <c r="Z43" s="15"/>
      <c r="AA43" s="42"/>
    </row>
    <row r="44" spans="1:27" s="21" customFormat="1" hidden="1" outlineLevel="1">
      <c r="A44" s="21" t="s">
        <v>6</v>
      </c>
      <c r="B44" s="20"/>
      <c r="C44" s="20"/>
      <c r="D44" s="64"/>
      <c r="E44" s="66"/>
      <c r="F44" s="65"/>
      <c r="G44" s="23">
        <f t="shared" si="0"/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3">
        <f t="shared" si="2"/>
        <v>0</v>
      </c>
      <c r="N44" s="23">
        <v>0</v>
      </c>
      <c r="O44" s="73">
        <f>H44+I44+J44+K44-L44-M44</f>
        <v>0</v>
      </c>
      <c r="P44" s="24"/>
      <c r="Q44" s="68"/>
      <c r="R44" s="41"/>
      <c r="S44" s="42"/>
      <c r="T44" s="42"/>
      <c r="U44" s="45"/>
      <c r="V44" s="26"/>
      <c r="W44" s="42"/>
      <c r="X44" s="42"/>
      <c r="Y44" s="42"/>
      <c r="Z44" s="15"/>
      <c r="AA44" s="42"/>
    </row>
    <row r="45" spans="1:27" s="21" customFormat="1" hidden="1" outlineLevel="1">
      <c r="A45" s="21" t="s">
        <v>6</v>
      </c>
      <c r="B45" s="20"/>
      <c r="C45" s="20"/>
      <c r="D45" s="64"/>
      <c r="E45" s="66"/>
      <c r="F45" s="65"/>
      <c r="G45" s="23">
        <f t="shared" si="0"/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3">
        <f t="shared" si="2"/>
        <v>0</v>
      </c>
      <c r="N45" s="23">
        <v>0</v>
      </c>
      <c r="O45" s="73">
        <f>H45+I45+J45+K45-L45-M45</f>
        <v>0</v>
      </c>
      <c r="P45" s="24"/>
      <c r="Q45" s="68"/>
      <c r="R45" s="41"/>
      <c r="S45" s="42"/>
      <c r="T45" s="42"/>
      <c r="U45" s="45"/>
      <c r="V45" s="26"/>
      <c r="W45" s="42"/>
      <c r="X45" s="42"/>
      <c r="Y45" s="42"/>
      <c r="Z45" s="15"/>
      <c r="AA45" s="42"/>
    </row>
    <row r="46" spans="1:27" s="21" customFormat="1" collapsed="1">
      <c r="B46" s="20"/>
      <c r="C46" s="20"/>
      <c r="D46" s="64"/>
      <c r="E46" s="66"/>
      <c r="F46" s="65"/>
      <c r="G46" s="23"/>
      <c r="H46" s="22"/>
      <c r="I46" s="22"/>
      <c r="J46" s="22"/>
      <c r="K46" s="22"/>
      <c r="L46" s="22"/>
      <c r="M46" s="23"/>
      <c r="N46" s="23"/>
      <c r="O46" s="73"/>
      <c r="P46" s="24"/>
      <c r="Q46" s="68"/>
      <c r="R46" s="41"/>
      <c r="S46" s="25"/>
      <c r="T46" s="43"/>
      <c r="U46" s="41"/>
      <c r="V46" s="25"/>
      <c r="W46" s="25"/>
      <c r="X46" s="25"/>
      <c r="Y46" s="25"/>
      <c r="Z46" s="15"/>
      <c r="AA46" s="25"/>
    </row>
    <row r="47" spans="1:27" s="21" customFormat="1">
      <c r="A47" s="21" t="s">
        <v>7</v>
      </c>
      <c r="B47" s="20"/>
      <c r="C47" s="20"/>
      <c r="D47" s="64"/>
      <c r="E47" s="66"/>
      <c r="F47" s="65"/>
      <c r="G47" s="23">
        <f>ROUND(E47*F47,0)</f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3">
        <f t="shared" si="2"/>
        <v>0</v>
      </c>
      <c r="N47" s="23">
        <v>0</v>
      </c>
      <c r="O47" s="73">
        <v>0</v>
      </c>
      <c r="P47" s="24"/>
      <c r="Q47" s="68"/>
      <c r="R47" s="41"/>
      <c r="S47" s="42"/>
      <c r="T47" s="42"/>
      <c r="U47" s="45"/>
      <c r="V47" s="42"/>
      <c r="W47" s="42"/>
      <c r="X47" s="26"/>
      <c r="Y47" s="42"/>
      <c r="Z47" s="15"/>
      <c r="AA47" s="42"/>
    </row>
    <row r="48" spans="1:27" s="21" customFormat="1" hidden="1" outlineLevel="1">
      <c r="A48" s="21" t="s">
        <v>7</v>
      </c>
      <c r="B48" s="20"/>
      <c r="C48" s="20"/>
      <c r="D48" s="64"/>
      <c r="E48" s="66"/>
      <c r="F48" s="65"/>
      <c r="G48" s="23">
        <f t="shared" si="0"/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3">
        <f t="shared" si="2"/>
        <v>0</v>
      </c>
      <c r="N48" s="23">
        <v>0</v>
      </c>
      <c r="O48" s="73">
        <f>H48+I48+J48+K48-L48-M48</f>
        <v>0</v>
      </c>
      <c r="P48" s="24"/>
      <c r="Q48" s="68"/>
      <c r="R48" s="41"/>
      <c r="S48" s="42"/>
      <c r="T48" s="42"/>
      <c r="U48" s="45"/>
      <c r="V48" s="26"/>
      <c r="W48" s="42"/>
      <c r="X48" s="42"/>
      <c r="Y48" s="42"/>
      <c r="Z48" s="15"/>
      <c r="AA48" s="42"/>
    </row>
    <row r="49" spans="1:27" s="21" customFormat="1" hidden="1" outlineLevel="1">
      <c r="A49" s="21" t="s">
        <v>7</v>
      </c>
      <c r="B49" s="20"/>
      <c r="C49" s="20"/>
      <c r="D49" s="64"/>
      <c r="E49" s="66"/>
      <c r="F49" s="65"/>
      <c r="G49" s="23">
        <f t="shared" si="0"/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3">
        <f t="shared" si="2"/>
        <v>0</v>
      </c>
      <c r="N49" s="23">
        <v>0</v>
      </c>
      <c r="O49" s="73">
        <f>H49+I49+J49+K49-L49-M49</f>
        <v>0</v>
      </c>
      <c r="P49" s="24"/>
      <c r="Q49" s="68"/>
      <c r="R49" s="41"/>
      <c r="S49" s="42"/>
      <c r="T49" s="42"/>
      <c r="U49" s="45"/>
      <c r="V49" s="26"/>
      <c r="W49" s="42"/>
      <c r="X49" s="42"/>
      <c r="Y49" s="42"/>
      <c r="Z49" s="15"/>
      <c r="AA49" s="42"/>
    </row>
    <row r="50" spans="1:27" s="21" customFormat="1" hidden="1" outlineLevel="1">
      <c r="A50" s="21" t="s">
        <v>7</v>
      </c>
      <c r="B50" s="20"/>
      <c r="C50" s="20"/>
      <c r="D50" s="64"/>
      <c r="E50" s="66"/>
      <c r="F50" s="65"/>
      <c r="G50" s="23">
        <f t="shared" si="0"/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3">
        <f t="shared" si="2"/>
        <v>0</v>
      </c>
      <c r="N50" s="23">
        <v>0</v>
      </c>
      <c r="O50" s="73">
        <f>H50+I50+J50+K50-L50-M50</f>
        <v>0</v>
      </c>
      <c r="P50" s="24"/>
      <c r="Q50" s="68"/>
      <c r="R50" s="41"/>
      <c r="S50" s="42"/>
      <c r="T50" s="42"/>
      <c r="U50" s="45"/>
      <c r="V50" s="26"/>
      <c r="W50" s="42"/>
      <c r="X50" s="42"/>
      <c r="Y50" s="42"/>
      <c r="Z50" s="15"/>
      <c r="AA50" s="42"/>
    </row>
    <row r="51" spans="1:27" s="21" customFormat="1" hidden="1" outlineLevel="1">
      <c r="A51" s="21" t="s">
        <v>7</v>
      </c>
      <c r="B51" s="20"/>
      <c r="C51" s="20"/>
      <c r="D51" s="64"/>
      <c r="E51" s="66"/>
      <c r="F51" s="65"/>
      <c r="G51" s="23">
        <f t="shared" si="0"/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3">
        <f t="shared" si="2"/>
        <v>0</v>
      </c>
      <c r="N51" s="23">
        <v>0</v>
      </c>
      <c r="O51" s="73">
        <f>H51+I51+J51+K51-L51-M51</f>
        <v>0</v>
      </c>
      <c r="P51" s="24"/>
      <c r="Q51" s="68"/>
      <c r="R51" s="41"/>
      <c r="S51" s="42"/>
      <c r="T51" s="42"/>
      <c r="U51" s="45"/>
      <c r="V51" s="26"/>
      <c r="W51" s="42"/>
      <c r="X51" s="42"/>
      <c r="Y51" s="42"/>
      <c r="Z51" s="15"/>
      <c r="AA51" s="42"/>
    </row>
    <row r="52" spans="1:27" s="21" customFormat="1" collapsed="1">
      <c r="B52" s="20"/>
      <c r="C52" s="20"/>
      <c r="D52" s="64"/>
      <c r="E52" s="66"/>
      <c r="F52" s="65"/>
      <c r="G52" s="23"/>
      <c r="H52" s="22"/>
      <c r="I52" s="22"/>
      <c r="J52" s="22"/>
      <c r="K52" s="22"/>
      <c r="L52" s="22"/>
      <c r="M52" s="23"/>
      <c r="N52" s="23"/>
      <c r="O52" s="73"/>
      <c r="P52" s="24"/>
      <c r="Q52" s="68"/>
      <c r="R52" s="41"/>
      <c r="S52" s="42"/>
      <c r="T52" s="42"/>
      <c r="U52" s="45"/>
      <c r="V52" s="42"/>
      <c r="W52" s="42"/>
      <c r="X52" s="42"/>
      <c r="Y52" s="42"/>
      <c r="Z52" s="15"/>
      <c r="AA52" s="42"/>
    </row>
    <row r="53" spans="1:27" s="21" customFormat="1">
      <c r="A53" s="21" t="s">
        <v>8</v>
      </c>
      <c r="B53" s="20"/>
      <c r="C53" s="20"/>
      <c r="D53" s="64"/>
      <c r="E53" s="66"/>
      <c r="F53" s="65"/>
      <c r="G53" s="23">
        <f>ROUND(E53*F53,0)</f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3">
        <f t="shared" si="2"/>
        <v>0</v>
      </c>
      <c r="N53" s="23">
        <v>0</v>
      </c>
      <c r="O53" s="73">
        <v>0</v>
      </c>
      <c r="P53" s="24"/>
      <c r="Q53" s="68"/>
      <c r="R53" s="41"/>
      <c r="S53" s="42"/>
      <c r="T53" s="42"/>
      <c r="U53" s="45"/>
      <c r="V53" s="42"/>
      <c r="W53" s="42"/>
      <c r="X53" s="26"/>
      <c r="Y53" s="42"/>
      <c r="Z53" s="15"/>
      <c r="AA53" s="42"/>
    </row>
    <row r="54" spans="1:27" s="21" customFormat="1" hidden="1" outlineLevel="1">
      <c r="A54" s="21" t="s">
        <v>8</v>
      </c>
      <c r="B54" s="20"/>
      <c r="C54" s="20"/>
      <c r="D54" s="64"/>
      <c r="E54" s="66"/>
      <c r="F54" s="65"/>
      <c r="G54" s="23">
        <f t="shared" si="0"/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3">
        <f t="shared" si="2"/>
        <v>0</v>
      </c>
      <c r="N54" s="23">
        <v>0</v>
      </c>
      <c r="O54" s="73">
        <f>H54+I54+J54+K54-L54-M54</f>
        <v>0</v>
      </c>
      <c r="P54" s="24"/>
      <c r="Q54" s="68"/>
      <c r="R54" s="41"/>
      <c r="S54" s="42"/>
      <c r="T54" s="42"/>
      <c r="U54" s="45"/>
      <c r="V54" s="26"/>
      <c r="W54" s="42"/>
      <c r="X54" s="42"/>
      <c r="Y54" s="42"/>
      <c r="Z54" s="15"/>
      <c r="AA54" s="42"/>
    </row>
    <row r="55" spans="1:27" s="21" customFormat="1" hidden="1" outlineLevel="1">
      <c r="A55" s="21" t="s">
        <v>8</v>
      </c>
      <c r="B55" s="20"/>
      <c r="C55" s="20"/>
      <c r="D55" s="64"/>
      <c r="E55" s="66"/>
      <c r="F55" s="65"/>
      <c r="G55" s="23">
        <f t="shared" si="0"/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3">
        <f t="shared" si="2"/>
        <v>0</v>
      </c>
      <c r="N55" s="23">
        <v>0</v>
      </c>
      <c r="O55" s="73">
        <f>H55+I55+J55+K55-L55-M55</f>
        <v>0</v>
      </c>
      <c r="P55" s="24"/>
      <c r="Q55" s="68"/>
      <c r="R55" s="41"/>
      <c r="S55" s="42"/>
      <c r="T55" s="42"/>
      <c r="U55" s="45"/>
      <c r="V55" s="26"/>
      <c r="W55" s="42"/>
      <c r="X55" s="42"/>
      <c r="Y55" s="42"/>
      <c r="Z55" s="15"/>
      <c r="AA55" s="42"/>
    </row>
    <row r="56" spans="1:27" s="21" customFormat="1" hidden="1" outlineLevel="1">
      <c r="A56" s="21" t="s">
        <v>8</v>
      </c>
      <c r="B56" s="20"/>
      <c r="C56" s="20"/>
      <c r="D56" s="64"/>
      <c r="E56" s="66"/>
      <c r="F56" s="65"/>
      <c r="G56" s="23">
        <f t="shared" si="0"/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f t="shared" si="2"/>
        <v>0</v>
      </c>
      <c r="N56" s="23">
        <v>0</v>
      </c>
      <c r="O56" s="73">
        <f>H56+I56+J56+K56-L56-M56</f>
        <v>0</v>
      </c>
      <c r="P56" s="24"/>
      <c r="Q56" s="68"/>
      <c r="R56" s="41"/>
      <c r="S56" s="42"/>
      <c r="T56" s="42"/>
      <c r="U56" s="45"/>
      <c r="V56" s="26"/>
      <c r="W56" s="42"/>
      <c r="X56" s="42"/>
      <c r="Y56" s="42"/>
      <c r="Z56" s="15"/>
      <c r="AA56" s="42"/>
    </row>
    <row r="57" spans="1:27" s="21" customFormat="1" hidden="1" outlineLevel="1">
      <c r="A57" s="21" t="s">
        <v>8</v>
      </c>
      <c r="B57" s="20"/>
      <c r="C57" s="20"/>
      <c r="D57" s="64"/>
      <c r="E57" s="66"/>
      <c r="F57" s="65"/>
      <c r="G57" s="23">
        <f t="shared" si="0"/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3">
        <f t="shared" si="2"/>
        <v>0</v>
      </c>
      <c r="N57" s="23">
        <v>0</v>
      </c>
      <c r="O57" s="73">
        <f>H57+I57+J57+K57-L57-M57</f>
        <v>0</v>
      </c>
      <c r="P57" s="24"/>
      <c r="Q57" s="68"/>
      <c r="R57" s="41"/>
      <c r="S57" s="42"/>
      <c r="T57" s="42"/>
      <c r="U57" s="45"/>
      <c r="V57" s="26"/>
      <c r="W57" s="42"/>
      <c r="X57" s="42"/>
      <c r="Y57" s="42"/>
      <c r="Z57" s="15"/>
      <c r="AA57" s="42"/>
    </row>
    <row r="58" spans="1:27" s="21" customFormat="1" collapsed="1">
      <c r="B58" s="20"/>
      <c r="C58" s="20"/>
      <c r="D58" s="64"/>
      <c r="E58" s="66"/>
      <c r="F58" s="65"/>
      <c r="G58" s="23"/>
      <c r="H58" s="22"/>
      <c r="I58" s="22"/>
      <c r="J58" s="22"/>
      <c r="K58" s="22"/>
      <c r="L58" s="22"/>
      <c r="M58" s="23"/>
      <c r="N58" s="23"/>
      <c r="O58" s="73"/>
      <c r="P58" s="24"/>
      <c r="Q58" s="68"/>
      <c r="R58" s="41"/>
      <c r="S58" s="42"/>
      <c r="T58" s="42"/>
      <c r="U58" s="45"/>
      <c r="V58" s="42"/>
      <c r="W58" s="42"/>
      <c r="X58" s="42"/>
      <c r="Y58" s="42"/>
      <c r="Z58" s="15"/>
      <c r="AA58" s="42"/>
    </row>
    <row r="59" spans="1:27" s="21" customFormat="1">
      <c r="A59" s="21" t="s">
        <v>9</v>
      </c>
      <c r="B59" s="20"/>
      <c r="C59" s="20"/>
      <c r="D59" s="64"/>
      <c r="E59" s="66"/>
      <c r="F59" s="65"/>
      <c r="G59" s="23">
        <f>ROUND(E59*F59,0)</f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3">
        <f t="shared" si="2"/>
        <v>0</v>
      </c>
      <c r="N59" s="23">
        <v>0</v>
      </c>
      <c r="O59" s="73">
        <v>0</v>
      </c>
      <c r="P59" s="24"/>
      <c r="Q59" s="68"/>
      <c r="R59" s="41"/>
      <c r="S59" s="42"/>
      <c r="T59" s="42"/>
      <c r="U59" s="45"/>
      <c r="V59" s="42"/>
      <c r="W59" s="42"/>
      <c r="X59" s="26"/>
      <c r="Y59" s="42"/>
      <c r="Z59" s="15"/>
      <c r="AA59" s="42"/>
    </row>
    <row r="60" spans="1:27" s="21" customFormat="1" hidden="1" outlineLevel="1">
      <c r="A60" s="21" t="s">
        <v>9</v>
      </c>
      <c r="B60" s="20"/>
      <c r="C60" s="20"/>
      <c r="D60" s="64"/>
      <c r="E60" s="66"/>
      <c r="F60" s="65"/>
      <c r="G60" s="23">
        <f t="shared" si="0"/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3">
        <f t="shared" si="2"/>
        <v>0</v>
      </c>
      <c r="N60" s="23">
        <f>I60+J60+K60+L60-M60-O60</f>
        <v>0</v>
      </c>
      <c r="O60" s="73">
        <f>H60+I60+J60+K60-L60-M60</f>
        <v>0</v>
      </c>
      <c r="P60" s="24"/>
      <c r="Q60" s="68"/>
      <c r="R60" s="41"/>
      <c r="S60" s="42"/>
      <c r="T60" s="42"/>
      <c r="U60" s="45"/>
      <c r="V60" s="26"/>
      <c r="W60" s="42"/>
      <c r="X60" s="42"/>
      <c r="Y60" s="42"/>
      <c r="Z60" s="15"/>
      <c r="AA60" s="42"/>
    </row>
    <row r="61" spans="1:27" s="21" customFormat="1" hidden="1" outlineLevel="1">
      <c r="A61" s="21" t="s">
        <v>9</v>
      </c>
      <c r="B61" s="20"/>
      <c r="C61" s="20"/>
      <c r="D61" s="64"/>
      <c r="E61" s="66"/>
      <c r="F61" s="65"/>
      <c r="G61" s="23">
        <f t="shared" si="0"/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3">
        <f t="shared" si="2"/>
        <v>0</v>
      </c>
      <c r="N61" s="23">
        <f>I61+J61+K61+L61-M61-O61</f>
        <v>0</v>
      </c>
      <c r="O61" s="73">
        <f>H61+I61+J61+K61-L61-M61</f>
        <v>0</v>
      </c>
      <c r="P61" s="24"/>
      <c r="Q61" s="68"/>
      <c r="R61" s="41"/>
      <c r="S61" s="42"/>
      <c r="T61" s="42"/>
      <c r="U61" s="45"/>
      <c r="V61" s="26"/>
      <c r="W61" s="42"/>
      <c r="X61" s="42"/>
      <c r="Y61" s="42"/>
      <c r="Z61" s="15"/>
      <c r="AA61" s="42"/>
    </row>
    <row r="62" spans="1:27" s="21" customFormat="1" hidden="1" outlineLevel="1">
      <c r="A62" s="21" t="s">
        <v>9</v>
      </c>
      <c r="B62" s="20"/>
      <c r="C62" s="20"/>
      <c r="D62" s="64"/>
      <c r="E62" s="66"/>
      <c r="F62" s="65"/>
      <c r="G62" s="23">
        <f t="shared" si="0"/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3">
        <f t="shared" si="2"/>
        <v>0</v>
      </c>
      <c r="N62" s="23">
        <f>I62+J62+K62+L62-M62-O62</f>
        <v>0</v>
      </c>
      <c r="O62" s="73">
        <f>H62+I62+J62+K62-L62-M62</f>
        <v>0</v>
      </c>
      <c r="P62" s="24"/>
      <c r="Q62" s="68"/>
      <c r="R62" s="41"/>
      <c r="S62" s="42"/>
      <c r="T62" s="42"/>
      <c r="U62" s="45"/>
      <c r="V62" s="26"/>
      <c r="W62" s="42"/>
      <c r="X62" s="42"/>
      <c r="Y62" s="42"/>
      <c r="Z62" s="15"/>
      <c r="AA62" s="42"/>
    </row>
    <row r="63" spans="1:27" s="21" customFormat="1" hidden="1" outlineLevel="1">
      <c r="A63" s="21" t="s">
        <v>9</v>
      </c>
      <c r="B63" s="20"/>
      <c r="C63" s="20"/>
      <c r="D63" s="64"/>
      <c r="E63" s="66"/>
      <c r="F63" s="65"/>
      <c r="G63" s="23">
        <f t="shared" si="0"/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3">
        <f t="shared" si="2"/>
        <v>0</v>
      </c>
      <c r="N63" s="23">
        <f>I63+J63+K63+L63-M63-O63</f>
        <v>0</v>
      </c>
      <c r="O63" s="73">
        <f>H63+I63+J63+K63-L63-M63</f>
        <v>0</v>
      </c>
      <c r="P63" s="24"/>
      <c r="Q63" s="68"/>
      <c r="R63" s="41"/>
      <c r="S63" s="42"/>
      <c r="T63" s="42"/>
      <c r="U63" s="45"/>
      <c r="V63" s="26"/>
      <c r="W63" s="42"/>
      <c r="X63" s="42"/>
      <c r="Y63" s="42"/>
      <c r="Z63" s="15"/>
      <c r="AA63" s="42"/>
    </row>
    <row r="64" spans="1:27" s="21" customFormat="1" collapsed="1">
      <c r="B64" s="20"/>
      <c r="C64" s="20"/>
      <c r="D64" s="64"/>
      <c r="E64" s="66"/>
      <c r="F64" s="65"/>
      <c r="G64" s="23"/>
      <c r="H64" s="22"/>
      <c r="I64" s="22"/>
      <c r="J64" s="22"/>
      <c r="K64" s="22"/>
      <c r="L64" s="22"/>
      <c r="M64" s="23"/>
      <c r="N64" s="23"/>
      <c r="O64" s="73"/>
      <c r="P64" s="24"/>
      <c r="Q64" s="68"/>
      <c r="R64" s="41"/>
      <c r="S64" s="42"/>
      <c r="T64" s="42"/>
      <c r="U64" s="45"/>
      <c r="V64" s="42"/>
      <c r="W64" s="42"/>
      <c r="X64" s="42"/>
      <c r="Y64" s="42"/>
      <c r="Z64" s="15"/>
      <c r="AA64" s="42"/>
    </row>
    <row r="65" spans="1:27" s="21" customFormat="1">
      <c r="A65" s="21" t="s">
        <v>10</v>
      </c>
      <c r="B65" s="20"/>
      <c r="C65" s="20"/>
      <c r="D65" s="64"/>
      <c r="E65" s="66"/>
      <c r="F65" s="65"/>
      <c r="G65" s="23">
        <f>ROUND(E65*F65,0)</f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3">
        <f t="shared" si="2"/>
        <v>0</v>
      </c>
      <c r="N65" s="23">
        <v>0</v>
      </c>
      <c r="O65" s="73">
        <v>0</v>
      </c>
      <c r="P65" s="24"/>
      <c r="Q65" s="68"/>
      <c r="R65" s="41"/>
      <c r="S65" s="42"/>
      <c r="T65" s="42"/>
      <c r="U65" s="45"/>
      <c r="V65" s="42"/>
      <c r="W65" s="42"/>
      <c r="X65" s="26"/>
      <c r="Y65" s="42"/>
      <c r="Z65" s="15"/>
      <c r="AA65" s="42"/>
    </row>
    <row r="66" spans="1:27" s="21" customFormat="1" hidden="1" outlineLevel="1">
      <c r="A66" s="21" t="s">
        <v>10</v>
      </c>
      <c r="B66" s="20"/>
      <c r="C66" s="20"/>
      <c r="D66" s="64"/>
      <c r="E66" s="66"/>
      <c r="F66" s="65"/>
      <c r="G66" s="23">
        <f t="shared" si="0"/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3">
        <f t="shared" si="2"/>
        <v>0</v>
      </c>
      <c r="N66" s="23">
        <f>I66+J66+K66+L66-M66-O66</f>
        <v>0</v>
      </c>
      <c r="O66" s="73">
        <f>H66+I66+J66+K66-L66-M66</f>
        <v>0</v>
      </c>
      <c r="P66" s="24"/>
      <c r="Q66" s="68"/>
      <c r="R66" s="41"/>
      <c r="S66" s="42"/>
      <c r="T66" s="42"/>
      <c r="U66" s="45"/>
      <c r="V66" s="26"/>
      <c r="W66" s="42"/>
      <c r="X66" s="42"/>
      <c r="Y66" s="42"/>
      <c r="Z66" s="15"/>
      <c r="AA66" s="42"/>
    </row>
    <row r="67" spans="1:27" s="21" customFormat="1" hidden="1" outlineLevel="1">
      <c r="A67" s="21" t="s">
        <v>10</v>
      </c>
      <c r="B67" s="20"/>
      <c r="C67" s="20"/>
      <c r="D67" s="64"/>
      <c r="E67" s="66"/>
      <c r="F67" s="65"/>
      <c r="G67" s="23">
        <f t="shared" si="0"/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3">
        <f t="shared" si="2"/>
        <v>0</v>
      </c>
      <c r="N67" s="23">
        <f>I67+J67+K67+L67-M67-O67</f>
        <v>0</v>
      </c>
      <c r="O67" s="73">
        <f>H67+I67+J67+K67-L67-M67</f>
        <v>0</v>
      </c>
      <c r="P67" s="24"/>
      <c r="Q67" s="68"/>
      <c r="R67" s="41"/>
      <c r="S67" s="42"/>
      <c r="T67" s="42"/>
      <c r="U67" s="45"/>
      <c r="V67" s="26"/>
      <c r="W67" s="42"/>
      <c r="X67" s="42"/>
      <c r="Y67" s="42"/>
      <c r="Z67" s="15"/>
      <c r="AA67" s="42"/>
    </row>
    <row r="68" spans="1:27" s="21" customFormat="1" hidden="1" outlineLevel="1">
      <c r="A68" s="21" t="s">
        <v>10</v>
      </c>
      <c r="B68" s="20"/>
      <c r="C68" s="20"/>
      <c r="D68" s="64"/>
      <c r="E68" s="66"/>
      <c r="F68" s="65"/>
      <c r="G68" s="23">
        <f t="shared" si="0"/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3">
        <f t="shared" si="2"/>
        <v>0</v>
      </c>
      <c r="N68" s="23">
        <f>I68+J68+K68+L68-M68-O68</f>
        <v>0</v>
      </c>
      <c r="O68" s="73">
        <f>H68+I68+J68+K68-L68-M68</f>
        <v>0</v>
      </c>
      <c r="P68" s="24"/>
      <c r="Q68" s="68"/>
      <c r="R68" s="41"/>
      <c r="S68" s="42"/>
      <c r="T68" s="42"/>
      <c r="U68" s="45"/>
      <c r="V68" s="26"/>
      <c r="W68" s="42"/>
      <c r="X68" s="42"/>
      <c r="Y68" s="42"/>
      <c r="Z68" s="15"/>
      <c r="AA68" s="42"/>
    </row>
    <row r="69" spans="1:27" s="21" customFormat="1" hidden="1" outlineLevel="1">
      <c r="A69" s="21" t="s">
        <v>10</v>
      </c>
      <c r="B69" s="20"/>
      <c r="C69" s="20"/>
      <c r="D69" s="64"/>
      <c r="E69" s="66"/>
      <c r="F69" s="65"/>
      <c r="G69" s="23">
        <f t="shared" si="0"/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3">
        <f t="shared" si="2"/>
        <v>0</v>
      </c>
      <c r="N69" s="23">
        <f>I69+J69+K69+L69-M69-O69</f>
        <v>0</v>
      </c>
      <c r="O69" s="73">
        <f>H69+I69+J69+K69-L69-M69</f>
        <v>0</v>
      </c>
      <c r="P69" s="24"/>
      <c r="Q69" s="68"/>
      <c r="R69" s="41"/>
      <c r="S69" s="42"/>
      <c r="T69" s="42"/>
      <c r="U69" s="45"/>
      <c r="V69" s="26"/>
      <c r="W69" s="42"/>
      <c r="X69" s="42"/>
      <c r="Y69" s="42"/>
      <c r="Z69" s="15"/>
      <c r="AA69" s="42"/>
    </row>
    <row r="70" spans="1:27" s="21" customFormat="1" collapsed="1">
      <c r="B70" s="20"/>
      <c r="C70" s="20"/>
      <c r="D70" s="64"/>
      <c r="E70" s="66"/>
      <c r="F70" s="65"/>
      <c r="G70" s="23"/>
      <c r="H70" s="22"/>
      <c r="I70" s="22"/>
      <c r="J70" s="22"/>
      <c r="K70" s="22"/>
      <c r="L70" s="22"/>
      <c r="M70" s="23"/>
      <c r="N70" s="23"/>
      <c r="O70" s="73"/>
      <c r="P70" s="24"/>
      <c r="Q70" s="68"/>
      <c r="R70" s="41"/>
      <c r="S70" s="42"/>
      <c r="T70" s="42"/>
      <c r="U70" s="45"/>
      <c r="V70" s="42"/>
      <c r="W70" s="42"/>
      <c r="X70" s="42"/>
      <c r="Y70" s="42"/>
      <c r="Z70" s="15"/>
      <c r="AA70" s="42"/>
    </row>
    <row r="71" spans="1:27" s="21" customFormat="1">
      <c r="A71" s="21" t="s">
        <v>11</v>
      </c>
      <c r="B71" s="20"/>
      <c r="C71" s="20"/>
      <c r="D71" s="64"/>
      <c r="E71" s="66"/>
      <c r="F71" s="65"/>
      <c r="G71" s="23">
        <f>ROUND(E71*F71,0)</f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3">
        <f t="shared" si="2"/>
        <v>0</v>
      </c>
      <c r="N71" s="23">
        <v>0</v>
      </c>
      <c r="O71" s="73">
        <v>0</v>
      </c>
      <c r="P71" s="24"/>
      <c r="Q71" s="68"/>
      <c r="R71" s="41"/>
      <c r="S71" s="42"/>
      <c r="T71" s="42"/>
      <c r="U71" s="45"/>
      <c r="V71" s="42"/>
      <c r="W71" s="42"/>
      <c r="X71" s="26"/>
      <c r="Y71" s="42"/>
      <c r="Z71" s="15"/>
      <c r="AA71" s="42"/>
    </row>
    <row r="72" spans="1:27" s="21" customFormat="1" hidden="1" outlineLevel="1">
      <c r="A72" s="21" t="s">
        <v>11</v>
      </c>
      <c r="B72" s="20"/>
      <c r="C72" s="20"/>
      <c r="D72" s="64"/>
      <c r="E72" s="22"/>
      <c r="F72" s="65"/>
      <c r="G72" s="23">
        <f t="shared" ref="G72:G75" si="3">E72*F72</f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3">
        <f t="shared" si="2"/>
        <v>0</v>
      </c>
      <c r="N72" s="23"/>
      <c r="O72" s="23"/>
      <c r="P72" s="24"/>
      <c r="Q72" s="26"/>
      <c r="R72" s="41"/>
      <c r="S72" s="42"/>
      <c r="T72" s="42"/>
      <c r="U72" s="45"/>
      <c r="V72" s="26"/>
      <c r="W72" s="42"/>
      <c r="X72" s="42"/>
      <c r="Y72" s="42"/>
      <c r="Z72" s="15"/>
      <c r="AA72" s="42"/>
    </row>
    <row r="73" spans="1:27" s="21" customFormat="1" hidden="1" outlineLevel="1">
      <c r="A73" s="21" t="s">
        <v>11</v>
      </c>
      <c r="B73" s="20"/>
      <c r="C73" s="20"/>
      <c r="D73" s="64"/>
      <c r="E73" s="22"/>
      <c r="F73" s="65"/>
      <c r="G73" s="23">
        <f t="shared" si="3"/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3">
        <f t="shared" si="2"/>
        <v>0</v>
      </c>
      <c r="N73" s="23"/>
      <c r="O73" s="23"/>
      <c r="P73" s="24"/>
      <c r="Q73" s="26"/>
      <c r="R73" s="41"/>
      <c r="S73" s="42"/>
      <c r="T73" s="42"/>
      <c r="U73" s="45"/>
      <c r="V73" s="26"/>
      <c r="W73" s="42"/>
      <c r="X73" s="42"/>
      <c r="Y73" s="42"/>
      <c r="Z73" s="15"/>
      <c r="AA73" s="42"/>
    </row>
    <row r="74" spans="1:27" s="21" customFormat="1" hidden="1" outlineLevel="1">
      <c r="A74" s="21" t="s">
        <v>11</v>
      </c>
      <c r="B74" s="20"/>
      <c r="C74" s="20"/>
      <c r="D74" s="64"/>
      <c r="E74" s="22"/>
      <c r="F74" s="65"/>
      <c r="G74" s="23">
        <f t="shared" si="3"/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3">
        <f t="shared" si="2"/>
        <v>0</v>
      </c>
      <c r="N74" s="23"/>
      <c r="O74" s="23"/>
      <c r="P74" s="24"/>
      <c r="Q74" s="26"/>
      <c r="R74" s="41"/>
      <c r="S74" s="42"/>
      <c r="T74" s="42"/>
      <c r="U74" s="45"/>
      <c r="V74" s="26"/>
      <c r="W74" s="42"/>
      <c r="X74" s="42"/>
      <c r="Y74" s="42"/>
      <c r="Z74" s="15"/>
      <c r="AA74" s="42"/>
    </row>
    <row r="75" spans="1:27" s="21" customFormat="1" hidden="1" outlineLevel="1">
      <c r="A75" s="21" t="s">
        <v>11</v>
      </c>
      <c r="B75" s="20"/>
      <c r="C75" s="20"/>
      <c r="D75" s="64"/>
      <c r="E75" s="22"/>
      <c r="F75" s="65"/>
      <c r="G75" s="23">
        <f t="shared" si="3"/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3">
        <f t="shared" si="2"/>
        <v>0</v>
      </c>
      <c r="N75" s="23"/>
      <c r="O75" s="23"/>
      <c r="P75" s="24"/>
      <c r="Q75" s="26"/>
      <c r="R75" s="41"/>
      <c r="S75" s="42"/>
      <c r="T75" s="42"/>
      <c r="U75" s="45"/>
      <c r="V75" s="26"/>
      <c r="W75" s="42"/>
      <c r="X75" s="42"/>
      <c r="Y75" s="42"/>
      <c r="Z75" s="15"/>
      <c r="AA75" s="42"/>
    </row>
    <row r="76" spans="1:27" s="21" customFormat="1" ht="12" collapsed="1" thickBot="1">
      <c r="B76" s="20"/>
      <c r="C76" s="20"/>
      <c r="D76" s="64"/>
      <c r="E76" s="22"/>
      <c r="F76" s="22"/>
      <c r="G76" s="22"/>
      <c r="H76" s="22"/>
      <c r="I76" s="22"/>
      <c r="J76" s="22"/>
      <c r="K76" s="22"/>
      <c r="L76" s="22"/>
      <c r="M76" s="23"/>
      <c r="N76" s="23"/>
      <c r="O76" s="23"/>
      <c r="P76" s="24"/>
      <c r="Q76" s="26"/>
      <c r="R76" s="41"/>
      <c r="S76" s="43"/>
      <c r="T76" s="42"/>
      <c r="U76" s="45"/>
      <c r="V76" s="42"/>
      <c r="W76" s="42"/>
      <c r="X76" s="42"/>
      <c r="Y76" s="42"/>
      <c r="Z76" s="42"/>
      <c r="AA76" s="42"/>
    </row>
    <row r="77" spans="1:27" s="21" customFormat="1" ht="12" thickTop="1">
      <c r="A77" s="27" t="s">
        <v>12</v>
      </c>
      <c r="B77" s="27"/>
      <c r="C77" s="27"/>
      <c r="D77" s="28"/>
      <c r="E77" s="47">
        <f>SUM(E5:E76)</f>
        <v>0</v>
      </c>
      <c r="F77" s="70"/>
      <c r="G77" s="47">
        <f t="shared" ref="G77:I77" si="4">SUM(G5:G76)</f>
        <v>0</v>
      </c>
      <c r="H77" s="47">
        <f t="shared" si="4"/>
        <v>0</v>
      </c>
      <c r="I77" s="47">
        <f t="shared" si="4"/>
        <v>0</v>
      </c>
      <c r="J77" s="47">
        <f t="shared" ref="J77:K77" si="5">SUM(J5:J76)</f>
        <v>0</v>
      </c>
      <c r="K77" s="47">
        <f t="shared" si="5"/>
        <v>0</v>
      </c>
      <c r="L77" s="47">
        <f t="shared" ref="L77" si="6">SUM(L5:L76)</f>
        <v>0</v>
      </c>
      <c r="M77" s="47">
        <f t="shared" ref="M77:N77" si="7">SUM(M5:M76)</f>
        <v>0</v>
      </c>
      <c r="N77" s="47">
        <f t="shared" si="7"/>
        <v>0</v>
      </c>
      <c r="O77" s="47">
        <f>SUM(O5:O76)</f>
        <v>0</v>
      </c>
      <c r="P77" s="24"/>
      <c r="Q77" s="74" t="e">
        <f>SUBTOTAL(9,Q5:Q71)/COUNTA(Q5:Q71)</f>
        <v>#DIV/0!</v>
      </c>
      <c r="R77" s="41"/>
      <c r="S77" s="43"/>
      <c r="T77" s="42"/>
      <c r="U77" s="41"/>
      <c r="V77" s="26"/>
      <c r="W77" s="42"/>
      <c r="X77" s="42"/>
      <c r="Y77" s="42"/>
      <c r="Z77" s="42"/>
      <c r="AA77" s="42"/>
    </row>
    <row r="78" spans="1:27" s="21" customFormat="1" ht="12" thickBot="1">
      <c r="D78" s="30"/>
      <c r="E78" s="30"/>
      <c r="F78" s="30"/>
      <c r="G78" s="30"/>
      <c r="H78" s="30"/>
      <c r="I78" s="30"/>
      <c r="J78" s="30"/>
      <c r="K78" s="38"/>
      <c r="L78" s="38"/>
      <c r="M78" s="30"/>
      <c r="N78" s="30"/>
      <c r="O78" s="30"/>
      <c r="Q78" s="25"/>
      <c r="R78" s="29"/>
      <c r="S78" s="25"/>
      <c r="T78" s="25"/>
      <c r="U78" s="29"/>
      <c r="V78" s="25"/>
      <c r="W78" s="25"/>
      <c r="X78" s="25"/>
      <c r="Y78" s="25"/>
      <c r="Z78" s="25"/>
      <c r="AA78" s="25"/>
    </row>
    <row r="79" spans="1:27" s="21" customFormat="1" ht="12" thickTop="1">
      <c r="D79" s="28">
        <f>ROUND(E77*F77,0)</f>
        <v>0</v>
      </c>
      <c r="E79" s="28">
        <f>+D79-G77</f>
        <v>0</v>
      </c>
      <c r="F79" s="18"/>
      <c r="G79" s="30"/>
      <c r="H79" s="30"/>
      <c r="I79" s="30"/>
      <c r="J79" s="30"/>
      <c r="K79" s="30"/>
      <c r="L79" s="30"/>
      <c r="N79" s="30"/>
      <c r="O79" s="28">
        <f>+M77-N77</f>
        <v>0</v>
      </c>
      <c r="Q79" s="25"/>
      <c r="R79" s="29"/>
      <c r="S79" s="25"/>
      <c r="T79" s="25"/>
      <c r="U79" s="29"/>
      <c r="V79" s="25"/>
      <c r="W79" s="25"/>
      <c r="X79" s="25"/>
      <c r="Y79" s="25"/>
      <c r="Z79" s="25"/>
      <c r="AA79" s="25"/>
    </row>
    <row r="80" spans="1:27" s="21" customFormat="1">
      <c r="F80" s="36"/>
      <c r="Q80" s="25"/>
      <c r="R80" s="29"/>
      <c r="S80" s="25"/>
      <c r="T80" s="25"/>
      <c r="U80" s="29"/>
      <c r="V80" s="25"/>
      <c r="W80" s="25"/>
      <c r="X80" s="25"/>
      <c r="Y80" s="25"/>
      <c r="Z80" s="25"/>
      <c r="AA80" s="25"/>
    </row>
    <row r="81" spans="1:27" s="21" customFormat="1">
      <c r="A81" s="33"/>
      <c r="B81" s="34"/>
      <c r="C81" s="34"/>
      <c r="D81" s="37"/>
      <c r="E81" s="37"/>
      <c r="F81" s="37"/>
      <c r="Q81" s="25"/>
      <c r="R81" s="29"/>
      <c r="S81" s="25"/>
      <c r="T81" s="25"/>
      <c r="U81" s="29"/>
      <c r="V81" s="25"/>
      <c r="W81" s="25"/>
      <c r="X81" s="25"/>
      <c r="Y81" s="25"/>
      <c r="Z81" s="25"/>
      <c r="AA81" s="25"/>
    </row>
    <row r="82" spans="1:27" s="21" customFormat="1">
      <c r="A82" s="35"/>
      <c r="B82" s="36"/>
      <c r="C82" s="36"/>
      <c r="D82" s="37"/>
      <c r="E82" s="37"/>
      <c r="F82" s="37"/>
      <c r="Q82" s="25"/>
      <c r="R82" s="29"/>
      <c r="S82" s="25"/>
      <c r="T82" s="25"/>
      <c r="U82" s="29"/>
      <c r="V82" s="25"/>
      <c r="W82" s="25"/>
      <c r="X82" s="25"/>
      <c r="Y82" s="25"/>
      <c r="Z82" s="25"/>
      <c r="AA82" s="25"/>
    </row>
    <row r="83" spans="1:27" s="21" customFormat="1">
      <c r="A83" s="35"/>
      <c r="B83" s="36"/>
      <c r="C83" s="36"/>
      <c r="F83" s="37"/>
      <c r="Q83" s="25"/>
      <c r="R83" s="29"/>
      <c r="S83" s="25"/>
      <c r="T83" s="25"/>
      <c r="U83" s="29"/>
      <c r="V83" s="25"/>
      <c r="W83" s="25"/>
      <c r="X83" s="25"/>
      <c r="Y83" s="25"/>
      <c r="Z83" s="25"/>
      <c r="AA83" s="25"/>
    </row>
    <row r="84" spans="1:27" s="21" customFormat="1">
      <c r="A84" s="34"/>
      <c r="B84" s="34"/>
      <c r="C84" s="34"/>
      <c r="F84" s="37"/>
      <c r="Q84" s="25"/>
      <c r="R84" s="29"/>
      <c r="S84" s="25"/>
      <c r="T84" s="25"/>
      <c r="U84" s="29"/>
      <c r="V84" s="25"/>
      <c r="W84" s="25"/>
      <c r="X84" s="25"/>
      <c r="Y84" s="25"/>
      <c r="Z84" s="25"/>
      <c r="AA84" s="25"/>
    </row>
    <row r="85" spans="1:27" s="21" customFormat="1">
      <c r="A85" s="33"/>
      <c r="B85" s="34"/>
      <c r="C85" s="34"/>
      <c r="F85" s="37"/>
      <c r="Q85" s="25"/>
      <c r="R85" s="29"/>
      <c r="S85" s="25"/>
      <c r="T85" s="25"/>
      <c r="U85" s="29"/>
      <c r="V85" s="25"/>
      <c r="W85" s="25"/>
      <c r="X85" s="25"/>
      <c r="Y85" s="25"/>
      <c r="Z85" s="25"/>
      <c r="AA85" s="25"/>
    </row>
    <row r="86" spans="1:27" s="21" customFormat="1">
      <c r="A86" s="35"/>
      <c r="B86" s="37"/>
      <c r="C86" s="37"/>
      <c r="D86" s="34"/>
      <c r="E86" s="34"/>
      <c r="F86" s="34"/>
      <c r="Q86" s="25"/>
      <c r="R86" s="29"/>
      <c r="S86" s="25"/>
      <c r="T86" s="25"/>
      <c r="U86" s="29"/>
      <c r="V86" s="25"/>
      <c r="W86" s="25"/>
      <c r="X86" s="25"/>
      <c r="Y86" s="25"/>
      <c r="Z86" s="25"/>
      <c r="AA86" s="25"/>
    </row>
    <row r="87" spans="1:27" s="21" customFormat="1">
      <c r="A87" s="35"/>
      <c r="B87" s="37"/>
      <c r="C87" s="37"/>
      <c r="D87" s="37"/>
      <c r="E87" s="37"/>
      <c r="F87" s="37"/>
      <c r="Q87" s="25"/>
      <c r="R87" s="29"/>
      <c r="S87" s="25"/>
      <c r="T87" s="25"/>
      <c r="U87" s="29"/>
      <c r="V87" s="25"/>
      <c r="W87" s="25"/>
      <c r="X87" s="25"/>
      <c r="Y87" s="25"/>
      <c r="Z87" s="25"/>
      <c r="AA87" s="25"/>
    </row>
    <row r="88" spans="1:27" s="21" customFormat="1">
      <c r="A88" s="35"/>
      <c r="B88" s="37"/>
      <c r="C88" s="37"/>
      <c r="Q88" s="25"/>
      <c r="R88" s="29"/>
      <c r="S88" s="25"/>
      <c r="T88" s="25"/>
      <c r="U88" s="29"/>
      <c r="V88" s="25"/>
      <c r="W88" s="25"/>
      <c r="X88" s="25"/>
      <c r="Y88" s="25"/>
      <c r="Z88" s="25"/>
      <c r="AA88" s="25"/>
    </row>
    <row r="89" spans="1:27" s="21" customFormat="1">
      <c r="A89" s="39"/>
      <c r="Q89" s="25"/>
      <c r="R89" s="29"/>
      <c r="S89" s="25"/>
      <c r="T89" s="25"/>
      <c r="U89" s="29"/>
      <c r="V89" s="25"/>
      <c r="W89" s="25"/>
      <c r="X89" s="25"/>
      <c r="Y89" s="25"/>
      <c r="Z89" s="25"/>
      <c r="AA89" s="25"/>
    </row>
    <row r="90" spans="1:27" s="21" customFormat="1">
      <c r="A90" s="39"/>
      <c r="Q90" s="25"/>
      <c r="R90" s="29"/>
      <c r="S90" s="25"/>
      <c r="T90" s="25"/>
      <c r="U90" s="29"/>
      <c r="V90" s="25"/>
      <c r="W90" s="25"/>
      <c r="X90" s="25"/>
      <c r="Y90" s="25"/>
      <c r="Z90" s="25"/>
      <c r="AA90" s="25"/>
    </row>
    <row r="91" spans="1:27" s="21" customFormat="1">
      <c r="A91" s="39"/>
      <c r="Q91" s="25"/>
      <c r="R91" s="29"/>
      <c r="S91" s="25"/>
      <c r="T91" s="25"/>
      <c r="U91" s="29"/>
      <c r="V91" s="25"/>
      <c r="W91" s="25"/>
      <c r="X91" s="25"/>
      <c r="Y91" s="25"/>
      <c r="Z91" s="25"/>
      <c r="AA91" s="25"/>
    </row>
    <row r="92" spans="1:27" s="21" customFormat="1">
      <c r="A92" s="39"/>
      <c r="Q92" s="25"/>
      <c r="R92" s="29"/>
      <c r="S92" s="25"/>
      <c r="T92" s="25"/>
      <c r="U92" s="29"/>
      <c r="V92" s="25"/>
      <c r="W92" s="25"/>
      <c r="X92" s="25"/>
      <c r="Y92" s="25"/>
      <c r="Z92" s="25"/>
      <c r="AA92" s="25"/>
    </row>
    <row r="93" spans="1:27" s="21" customFormat="1">
      <c r="A93" s="39"/>
      <c r="Q93" s="25"/>
      <c r="R93" s="29"/>
      <c r="S93" s="25"/>
      <c r="T93" s="25"/>
      <c r="U93" s="29"/>
      <c r="V93" s="25"/>
      <c r="W93" s="25"/>
      <c r="X93" s="25"/>
      <c r="Y93" s="25"/>
      <c r="Z93" s="25"/>
      <c r="AA93" s="25"/>
    </row>
    <row r="94" spans="1:27" s="21" customFormat="1">
      <c r="A94" s="39"/>
      <c r="Q94" s="25"/>
      <c r="R94" s="29"/>
      <c r="S94" s="25"/>
      <c r="T94" s="25"/>
      <c r="U94" s="29"/>
      <c r="V94" s="25"/>
      <c r="W94" s="25"/>
      <c r="X94" s="25"/>
      <c r="Y94" s="25"/>
      <c r="Z94" s="25"/>
      <c r="AA94" s="25"/>
    </row>
    <row r="95" spans="1:27" s="21" customFormat="1">
      <c r="A95" s="40"/>
      <c r="Q95" s="25"/>
      <c r="R95" s="29"/>
      <c r="S95" s="25"/>
      <c r="T95" s="25"/>
      <c r="U95" s="29"/>
      <c r="V95" s="25"/>
      <c r="W95" s="25"/>
      <c r="X95" s="25"/>
      <c r="Y95" s="25"/>
      <c r="Z95" s="25"/>
      <c r="AA95" s="25"/>
    </row>
    <row r="96" spans="1:27" s="21" customFormat="1">
      <c r="A96" s="39"/>
      <c r="Q96" s="25"/>
      <c r="R96" s="29"/>
      <c r="S96" s="25"/>
      <c r="T96" s="25"/>
      <c r="U96" s="29"/>
      <c r="V96" s="25"/>
      <c r="W96" s="25"/>
      <c r="X96" s="25"/>
      <c r="Y96" s="25"/>
      <c r="Z96" s="25"/>
      <c r="AA96" s="25"/>
    </row>
    <row r="97" spans="1:27" s="21" customFormat="1">
      <c r="A97" s="39"/>
      <c r="Q97" s="25"/>
      <c r="R97" s="29"/>
      <c r="S97" s="25"/>
      <c r="T97" s="25"/>
      <c r="U97" s="29"/>
      <c r="V97" s="25"/>
      <c r="W97" s="25"/>
      <c r="X97" s="25"/>
      <c r="Y97" s="25"/>
      <c r="Z97" s="25"/>
      <c r="AA97" s="25"/>
    </row>
    <row r="98" spans="1:27" s="11" customFormat="1">
      <c r="Q98" s="19"/>
      <c r="R98" s="16"/>
      <c r="S98" s="19"/>
      <c r="T98" s="19"/>
      <c r="U98" s="16"/>
      <c r="V98" s="19"/>
      <c r="W98" s="19"/>
      <c r="X98" s="19"/>
      <c r="Y98" s="19"/>
      <c r="Z98" s="19"/>
      <c r="AA98" s="19"/>
    </row>
    <row r="99" spans="1:27" ht="10">
      <c r="Q99" s="5"/>
      <c r="R99" s="4"/>
      <c r="S99" s="5"/>
      <c r="T99" s="5"/>
      <c r="U99" s="4"/>
      <c r="V99" s="5"/>
      <c r="W99" s="5"/>
      <c r="X99" s="5"/>
      <c r="Y99" s="5"/>
      <c r="Z99" s="19"/>
      <c r="AA99" s="5"/>
    </row>
    <row r="100" spans="1:27" ht="10">
      <c r="Q100" s="5"/>
      <c r="R100" s="4"/>
      <c r="S100" s="5"/>
      <c r="T100" s="5"/>
      <c r="U100" s="4"/>
      <c r="V100" s="5"/>
      <c r="W100" s="5"/>
      <c r="X100" s="5"/>
      <c r="Y100" s="5"/>
      <c r="Z100" s="19"/>
      <c r="AA100" s="5"/>
    </row>
    <row r="101" spans="1:27" ht="10">
      <c r="Q101" s="5"/>
      <c r="R101" s="4"/>
      <c r="S101" s="5"/>
      <c r="T101" s="5"/>
      <c r="U101" s="4"/>
      <c r="V101" s="5"/>
      <c r="W101" s="5"/>
      <c r="X101" s="5"/>
      <c r="Y101" s="5"/>
      <c r="Z101" s="19"/>
      <c r="AA101" s="5"/>
    </row>
    <row r="102" spans="1:27" ht="10">
      <c r="Q102" s="5"/>
      <c r="R102" s="4"/>
      <c r="S102" s="5"/>
      <c r="T102" s="5"/>
      <c r="U102" s="4"/>
      <c r="V102" s="5"/>
      <c r="W102" s="5"/>
      <c r="X102" s="5"/>
      <c r="Y102" s="5"/>
      <c r="Z102" s="19"/>
      <c r="AA102" s="5"/>
    </row>
    <row r="103" spans="1:27" ht="10">
      <c r="Q103" s="5"/>
      <c r="R103" s="4"/>
      <c r="S103" s="5"/>
      <c r="T103" s="5"/>
      <c r="U103" s="4"/>
      <c r="V103" s="5"/>
      <c r="W103" s="5"/>
      <c r="X103" s="5"/>
      <c r="Y103" s="5"/>
      <c r="Z103" s="19"/>
      <c r="AA103" s="5"/>
    </row>
    <row r="104" spans="1:27" ht="10">
      <c r="Q104" s="5"/>
      <c r="R104" s="4"/>
      <c r="S104" s="5"/>
      <c r="T104" s="5"/>
      <c r="U104" s="4"/>
      <c r="V104" s="5"/>
      <c r="W104" s="5"/>
      <c r="X104" s="5"/>
      <c r="Y104" s="5"/>
      <c r="Z104" s="19"/>
      <c r="AA104" s="5"/>
    </row>
    <row r="105" spans="1:27" ht="10">
      <c r="Q105" s="5"/>
      <c r="R105" s="4"/>
      <c r="S105" s="5"/>
      <c r="T105" s="5"/>
      <c r="U105" s="4"/>
      <c r="V105" s="5"/>
      <c r="W105" s="5"/>
      <c r="X105" s="5"/>
      <c r="Y105" s="5"/>
      <c r="Z105" s="19"/>
      <c r="AA105" s="5"/>
    </row>
    <row r="106" spans="1:27" ht="10">
      <c r="Q106" s="5"/>
      <c r="R106" s="4"/>
      <c r="S106" s="5"/>
      <c r="T106" s="5"/>
      <c r="U106" s="4"/>
      <c r="V106" s="5"/>
      <c r="W106" s="5"/>
      <c r="X106" s="5"/>
      <c r="Y106" s="5"/>
      <c r="Z106" s="19"/>
      <c r="AA106" s="5"/>
    </row>
    <row r="107" spans="1:27" ht="10">
      <c r="Q107" s="5"/>
      <c r="R107" s="4"/>
      <c r="S107" s="5"/>
      <c r="T107" s="5"/>
      <c r="U107" s="4"/>
      <c r="V107" s="5"/>
      <c r="W107" s="5"/>
      <c r="X107" s="5"/>
      <c r="Y107" s="5"/>
      <c r="Z107" s="19"/>
      <c r="AA107" s="5"/>
    </row>
    <row r="108" spans="1:27" ht="10">
      <c r="Q108" s="5"/>
      <c r="R108" s="4"/>
      <c r="S108" s="5"/>
      <c r="T108" s="5"/>
      <c r="U108" s="4"/>
      <c r="V108" s="5"/>
      <c r="W108" s="5"/>
      <c r="X108" s="5"/>
      <c r="Y108" s="5"/>
      <c r="Z108" s="19"/>
      <c r="AA108" s="5"/>
    </row>
    <row r="109" spans="1:27" ht="10">
      <c r="Q109" s="5"/>
      <c r="R109" s="4"/>
      <c r="S109" s="5"/>
      <c r="T109" s="5"/>
      <c r="U109" s="4"/>
      <c r="V109" s="5"/>
      <c r="W109" s="5"/>
      <c r="X109" s="5"/>
      <c r="Y109" s="5"/>
      <c r="Z109" s="19"/>
      <c r="AA109" s="5"/>
    </row>
    <row r="110" spans="1:27" ht="10">
      <c r="Q110" s="5"/>
      <c r="R110" s="4"/>
      <c r="S110" s="5"/>
      <c r="T110" s="5"/>
      <c r="U110" s="4"/>
      <c r="V110" s="5"/>
      <c r="W110" s="5"/>
      <c r="X110" s="5"/>
      <c r="Y110" s="5"/>
      <c r="Z110" s="19"/>
      <c r="AA110" s="5"/>
    </row>
    <row r="111" spans="1:27" ht="10">
      <c r="Q111" s="5"/>
      <c r="R111" s="4"/>
      <c r="S111" s="5"/>
      <c r="T111" s="5"/>
      <c r="U111" s="4"/>
      <c r="V111" s="5"/>
      <c r="W111" s="5"/>
      <c r="X111" s="5"/>
      <c r="Y111" s="5"/>
      <c r="Z111" s="19"/>
      <c r="AA111" s="5"/>
    </row>
    <row r="112" spans="1:27" ht="10">
      <c r="Q112" s="5"/>
      <c r="R112" s="4"/>
      <c r="S112" s="5"/>
      <c r="T112" s="5"/>
      <c r="U112" s="4"/>
      <c r="V112" s="5"/>
      <c r="W112" s="5"/>
      <c r="X112" s="5"/>
      <c r="Y112" s="5"/>
      <c r="Z112" s="19"/>
      <c r="AA112" s="5"/>
    </row>
    <row r="113" spans="17:27" ht="10">
      <c r="Q113" s="5"/>
      <c r="R113" s="4"/>
      <c r="S113" s="5"/>
      <c r="T113" s="5"/>
      <c r="U113" s="4"/>
      <c r="V113" s="5"/>
      <c r="W113" s="5"/>
      <c r="X113" s="5"/>
      <c r="Y113" s="5"/>
      <c r="Z113" s="19"/>
      <c r="AA113" s="5"/>
    </row>
    <row r="114" spans="17:27" ht="10">
      <c r="Q114" s="5"/>
      <c r="R114" s="4"/>
      <c r="S114" s="5"/>
      <c r="T114" s="5"/>
      <c r="U114" s="4"/>
      <c r="V114" s="5"/>
      <c r="W114" s="5"/>
      <c r="X114" s="5"/>
      <c r="Y114" s="5"/>
      <c r="Z114" s="19"/>
      <c r="AA114" s="5"/>
    </row>
    <row r="115" spans="17:27" ht="10">
      <c r="Q115" s="5"/>
      <c r="R115" s="4"/>
      <c r="S115" s="5"/>
      <c r="T115" s="5"/>
      <c r="U115" s="4"/>
      <c r="V115" s="5"/>
      <c r="W115" s="5"/>
      <c r="X115" s="5"/>
      <c r="Y115" s="5"/>
      <c r="Z115" s="19"/>
      <c r="AA115" s="5"/>
    </row>
    <row r="116" spans="17:27" ht="10">
      <c r="Q116" s="5"/>
      <c r="R116" s="4"/>
      <c r="S116" s="5"/>
      <c r="T116" s="5"/>
      <c r="U116" s="4"/>
      <c r="V116" s="5"/>
      <c r="W116" s="5"/>
      <c r="X116" s="5"/>
      <c r="Y116" s="5"/>
      <c r="Z116" s="19"/>
      <c r="AA116" s="5"/>
    </row>
    <row r="117" spans="17:27" ht="10">
      <c r="Q117" s="5"/>
      <c r="R117" s="4"/>
      <c r="S117" s="5"/>
      <c r="T117" s="5"/>
      <c r="U117" s="4"/>
      <c r="V117" s="5"/>
      <c r="W117" s="5"/>
      <c r="X117" s="5"/>
      <c r="Y117" s="5"/>
      <c r="Z117" s="19"/>
      <c r="AA117" s="5"/>
    </row>
    <row r="118" spans="17:27" ht="10">
      <c r="Q118" s="5"/>
      <c r="R118" s="4"/>
      <c r="S118" s="5"/>
      <c r="T118" s="5"/>
      <c r="U118" s="4"/>
      <c r="V118" s="5"/>
      <c r="W118" s="5"/>
      <c r="X118" s="5"/>
      <c r="Y118" s="5"/>
      <c r="Z118" s="19"/>
      <c r="AA118" s="5"/>
    </row>
    <row r="119" spans="17:27" ht="10">
      <c r="Q119" s="5"/>
      <c r="R119" s="4"/>
      <c r="S119" s="5"/>
      <c r="T119" s="5"/>
      <c r="U119" s="4"/>
      <c r="V119" s="5"/>
      <c r="W119" s="5"/>
      <c r="X119" s="5"/>
      <c r="Y119" s="5"/>
      <c r="Z119" s="19"/>
      <c r="AA119" s="5"/>
    </row>
    <row r="120" spans="17:27" ht="10">
      <c r="Q120" s="5"/>
      <c r="R120" s="4"/>
      <c r="S120" s="5"/>
      <c r="T120" s="5"/>
      <c r="U120" s="4"/>
      <c r="V120" s="5"/>
      <c r="W120" s="5"/>
      <c r="X120" s="5"/>
      <c r="Y120" s="5"/>
      <c r="Z120" s="19"/>
      <c r="AA120" s="5"/>
    </row>
    <row r="121" spans="17:27" ht="10">
      <c r="Q121" s="5"/>
      <c r="R121" s="4"/>
      <c r="S121" s="5"/>
      <c r="T121" s="5"/>
      <c r="U121" s="4"/>
      <c r="V121" s="5"/>
      <c r="W121" s="5"/>
      <c r="X121" s="5"/>
      <c r="Y121" s="5"/>
      <c r="Z121" s="19"/>
      <c r="AA121" s="5"/>
    </row>
    <row r="122" spans="17:27" ht="10">
      <c r="Q122" s="5"/>
      <c r="R122" s="4"/>
      <c r="S122" s="5"/>
      <c r="T122" s="5"/>
      <c r="U122" s="4"/>
      <c r="V122" s="5"/>
      <c r="W122" s="5"/>
      <c r="X122" s="5"/>
      <c r="Y122" s="5"/>
      <c r="Z122" s="19"/>
      <c r="AA122" s="5"/>
    </row>
    <row r="123" spans="17:27" ht="10">
      <c r="Q123" s="5"/>
      <c r="R123" s="4"/>
      <c r="S123" s="5"/>
      <c r="T123" s="5"/>
      <c r="U123" s="4"/>
      <c r="V123" s="5"/>
      <c r="W123" s="5"/>
      <c r="X123" s="5"/>
      <c r="Y123" s="5"/>
      <c r="Z123" s="19"/>
      <c r="AA123" s="5"/>
    </row>
    <row r="124" spans="17:27" ht="10">
      <c r="Q124" s="5"/>
      <c r="R124" s="4"/>
      <c r="S124" s="5"/>
      <c r="T124" s="5"/>
      <c r="U124" s="4"/>
      <c r="V124" s="5"/>
      <c r="W124" s="5"/>
      <c r="X124" s="5"/>
      <c r="Y124" s="5"/>
      <c r="Z124" s="19"/>
      <c r="AA124" s="5"/>
    </row>
    <row r="125" spans="17:27" ht="10">
      <c r="Q125" s="5"/>
      <c r="R125" s="4"/>
      <c r="S125" s="5"/>
      <c r="T125" s="5"/>
      <c r="U125" s="4"/>
      <c r="V125" s="5"/>
      <c r="W125" s="5"/>
      <c r="X125" s="5"/>
      <c r="Y125" s="5"/>
      <c r="Z125" s="19"/>
      <c r="AA125" s="5"/>
    </row>
    <row r="126" spans="17:27" ht="10">
      <c r="Q126" s="5"/>
      <c r="R126" s="4"/>
      <c r="S126" s="5"/>
      <c r="T126" s="5"/>
      <c r="U126" s="4"/>
      <c r="V126" s="5"/>
      <c r="W126" s="5"/>
      <c r="X126" s="5"/>
      <c r="Y126" s="5"/>
      <c r="Z126" s="19"/>
      <c r="AA126" s="5"/>
    </row>
    <row r="127" spans="17:27" ht="10">
      <c r="Q127" s="5"/>
      <c r="R127" s="4"/>
      <c r="S127" s="5"/>
      <c r="T127" s="5"/>
      <c r="U127" s="4"/>
      <c r="V127" s="5"/>
      <c r="W127" s="5"/>
      <c r="X127" s="5"/>
      <c r="Y127" s="5"/>
      <c r="Z127" s="19"/>
      <c r="AA127" s="5"/>
    </row>
    <row r="128" spans="17:27" ht="10">
      <c r="Q128" s="5"/>
      <c r="R128" s="4"/>
      <c r="S128" s="5"/>
      <c r="T128" s="5"/>
      <c r="U128" s="4"/>
      <c r="V128" s="5"/>
      <c r="W128" s="5"/>
      <c r="X128" s="5"/>
      <c r="Y128" s="5"/>
      <c r="Z128" s="19"/>
      <c r="AA128" s="5"/>
    </row>
    <row r="129" spans="17:27" ht="10">
      <c r="Q129" s="5"/>
      <c r="R129" s="4"/>
      <c r="S129" s="5"/>
      <c r="T129" s="5"/>
      <c r="U129" s="4"/>
      <c r="V129" s="5"/>
      <c r="W129" s="5"/>
      <c r="X129" s="5"/>
      <c r="Y129" s="5"/>
      <c r="Z129" s="19"/>
      <c r="AA129" s="5"/>
    </row>
    <row r="130" spans="17:27" ht="10">
      <c r="Q130" s="5"/>
      <c r="R130" s="4"/>
      <c r="S130" s="5"/>
      <c r="T130" s="5"/>
      <c r="U130" s="4"/>
      <c r="V130" s="5"/>
      <c r="W130" s="5"/>
      <c r="X130" s="5"/>
      <c r="Y130" s="5"/>
      <c r="Z130" s="19"/>
      <c r="AA130" s="5"/>
    </row>
    <row r="131" spans="17:27" ht="10">
      <c r="Q131" s="5"/>
      <c r="R131" s="4"/>
      <c r="S131" s="5"/>
      <c r="T131" s="5"/>
      <c r="U131" s="4"/>
      <c r="V131" s="5"/>
      <c r="W131" s="5"/>
      <c r="X131" s="5"/>
      <c r="Y131" s="5"/>
      <c r="Z131" s="19"/>
      <c r="AA131" s="5"/>
    </row>
    <row r="132" spans="17:27" ht="10">
      <c r="Q132" s="5"/>
      <c r="R132" s="4"/>
      <c r="S132" s="5"/>
      <c r="T132" s="5"/>
      <c r="U132" s="4"/>
      <c r="V132" s="5"/>
      <c r="W132" s="5"/>
      <c r="X132" s="5"/>
      <c r="Y132" s="5"/>
      <c r="Z132" s="19"/>
      <c r="AA132" s="5"/>
    </row>
    <row r="133" spans="17:27" ht="10">
      <c r="Q133" s="5"/>
      <c r="R133" s="4"/>
      <c r="S133" s="5"/>
      <c r="T133" s="5"/>
      <c r="U133" s="4"/>
      <c r="V133" s="5"/>
      <c r="W133" s="5"/>
      <c r="X133" s="5"/>
      <c r="Y133" s="5"/>
      <c r="Z133" s="19"/>
      <c r="AA133" s="5"/>
    </row>
    <row r="134" spans="17:27" ht="10">
      <c r="Q134" s="5"/>
      <c r="R134" s="4"/>
      <c r="S134" s="5"/>
      <c r="T134" s="5"/>
      <c r="U134" s="4"/>
      <c r="V134" s="5"/>
      <c r="W134" s="5"/>
      <c r="X134" s="5"/>
      <c r="Y134" s="5"/>
      <c r="Z134" s="19"/>
      <c r="AA134" s="5"/>
    </row>
    <row r="135" spans="17:27" ht="10">
      <c r="Q135" s="5"/>
      <c r="R135" s="4"/>
      <c r="S135" s="5"/>
      <c r="T135" s="5"/>
      <c r="U135" s="4"/>
      <c r="V135" s="5"/>
      <c r="W135" s="5"/>
      <c r="X135" s="5"/>
      <c r="Y135" s="5"/>
      <c r="Z135" s="19"/>
      <c r="AA135" s="5"/>
    </row>
    <row r="136" spans="17:27" ht="10">
      <c r="Q136" s="5"/>
      <c r="R136" s="4"/>
      <c r="S136" s="5"/>
      <c r="T136" s="5"/>
      <c r="U136" s="4"/>
      <c r="V136" s="5"/>
      <c r="W136" s="5"/>
      <c r="X136" s="5"/>
      <c r="Y136" s="5"/>
      <c r="Z136" s="19"/>
      <c r="AA136" s="5"/>
    </row>
    <row r="137" spans="17:27" ht="10">
      <c r="Q137" s="5"/>
      <c r="R137" s="4"/>
      <c r="S137" s="5"/>
      <c r="T137" s="5"/>
      <c r="U137" s="4"/>
      <c r="V137" s="5"/>
      <c r="W137" s="5"/>
      <c r="X137" s="5"/>
      <c r="Y137" s="5"/>
      <c r="Z137" s="19"/>
      <c r="AA137" s="5"/>
    </row>
    <row r="138" spans="17:27" ht="10">
      <c r="Q138" s="5"/>
      <c r="R138" s="4"/>
      <c r="S138" s="5"/>
      <c r="T138" s="5"/>
      <c r="U138" s="4"/>
      <c r="V138" s="5"/>
      <c r="W138" s="5"/>
      <c r="X138" s="5"/>
      <c r="Y138" s="5"/>
      <c r="Z138" s="19"/>
      <c r="AA138" s="5"/>
    </row>
    <row r="139" spans="17:27" ht="10">
      <c r="Q139" s="5"/>
      <c r="R139" s="4"/>
      <c r="S139" s="5"/>
      <c r="T139" s="5"/>
      <c r="U139" s="4"/>
      <c r="V139" s="5"/>
      <c r="W139" s="5"/>
      <c r="X139" s="5"/>
      <c r="Y139" s="5"/>
      <c r="Z139" s="19"/>
      <c r="AA139" s="5"/>
    </row>
    <row r="140" spans="17:27" ht="10">
      <c r="Q140" s="5"/>
      <c r="R140" s="4"/>
      <c r="S140" s="5"/>
      <c r="T140" s="5"/>
      <c r="U140" s="4"/>
      <c r="V140" s="5"/>
      <c r="W140" s="5"/>
      <c r="X140" s="5"/>
      <c r="Y140" s="5"/>
      <c r="Z140" s="19"/>
      <c r="AA140" s="5"/>
    </row>
    <row r="141" spans="17:27" ht="10">
      <c r="Q141" s="5"/>
      <c r="R141" s="4"/>
      <c r="S141" s="5"/>
      <c r="T141" s="5"/>
      <c r="U141" s="4"/>
      <c r="V141" s="5"/>
      <c r="W141" s="5"/>
      <c r="X141" s="5"/>
      <c r="Y141" s="5"/>
      <c r="Z141" s="19"/>
      <c r="AA141" s="5"/>
    </row>
    <row r="142" spans="17:27" ht="10">
      <c r="Q142" s="5"/>
      <c r="R142" s="4"/>
      <c r="S142" s="5"/>
      <c r="T142" s="5"/>
      <c r="U142" s="4"/>
      <c r="V142" s="5"/>
      <c r="W142" s="5"/>
      <c r="X142" s="5"/>
      <c r="Y142" s="5"/>
      <c r="Z142" s="19"/>
      <c r="AA142" s="5"/>
    </row>
    <row r="143" spans="17:27" ht="10">
      <c r="Q143" s="5"/>
      <c r="R143" s="4"/>
      <c r="S143" s="5"/>
      <c r="T143" s="5"/>
      <c r="U143" s="4"/>
      <c r="V143" s="5"/>
      <c r="W143" s="5"/>
      <c r="X143" s="5"/>
      <c r="Y143" s="5"/>
      <c r="Z143" s="19"/>
      <c r="AA143" s="5"/>
    </row>
    <row r="144" spans="17:27" ht="10">
      <c r="Q144" s="5"/>
      <c r="R144" s="4"/>
      <c r="S144" s="5"/>
      <c r="T144" s="5"/>
      <c r="U144" s="4"/>
      <c r="V144" s="5"/>
      <c r="W144" s="5"/>
      <c r="X144" s="5"/>
      <c r="Y144" s="5"/>
      <c r="Z144" s="19"/>
      <c r="AA144" s="5"/>
    </row>
    <row r="145" spans="17:27" ht="10">
      <c r="Q145" s="5"/>
      <c r="R145" s="4"/>
      <c r="S145" s="5"/>
      <c r="T145" s="5"/>
      <c r="U145" s="4"/>
      <c r="V145" s="5"/>
      <c r="W145" s="5"/>
      <c r="X145" s="5"/>
      <c r="Y145" s="5"/>
      <c r="Z145" s="19"/>
      <c r="AA145" s="5"/>
    </row>
    <row r="146" spans="17:27" ht="10">
      <c r="Q146" s="5"/>
      <c r="R146" s="4"/>
      <c r="S146" s="5"/>
      <c r="T146" s="5"/>
      <c r="U146" s="4"/>
      <c r="V146" s="5"/>
      <c r="W146" s="5"/>
      <c r="X146" s="5"/>
      <c r="Y146" s="5"/>
      <c r="Z146" s="19"/>
      <c r="AA146" s="5"/>
    </row>
    <row r="147" spans="17:27" ht="10">
      <c r="Q147" s="5"/>
      <c r="R147" s="4"/>
      <c r="S147" s="5"/>
      <c r="T147" s="5"/>
      <c r="U147" s="4"/>
      <c r="V147" s="5"/>
      <c r="W147" s="5"/>
      <c r="X147" s="5"/>
      <c r="Y147" s="5"/>
      <c r="Z147" s="19"/>
      <c r="AA147" s="5"/>
    </row>
    <row r="148" spans="17:27" ht="10">
      <c r="Q148" s="5"/>
      <c r="R148" s="4"/>
      <c r="S148" s="5"/>
      <c r="T148" s="5"/>
      <c r="U148" s="4"/>
      <c r="V148" s="5"/>
      <c r="W148" s="5"/>
      <c r="X148" s="5"/>
      <c r="Y148" s="5"/>
      <c r="Z148" s="19"/>
      <c r="AA148" s="5"/>
    </row>
    <row r="149" spans="17:27" ht="10">
      <c r="Q149" s="5"/>
      <c r="R149" s="4"/>
      <c r="S149" s="5"/>
      <c r="T149" s="5"/>
      <c r="U149" s="4"/>
      <c r="V149" s="5"/>
      <c r="W149" s="5"/>
      <c r="X149" s="5"/>
      <c r="Y149" s="5"/>
      <c r="Z149" s="19"/>
      <c r="AA149" s="5"/>
    </row>
    <row r="150" spans="17:27" ht="10">
      <c r="Q150" s="5"/>
      <c r="R150" s="4"/>
      <c r="S150" s="5"/>
      <c r="T150" s="5"/>
      <c r="U150" s="4"/>
      <c r="V150" s="5"/>
      <c r="W150" s="5"/>
      <c r="X150" s="5"/>
      <c r="Y150" s="5"/>
      <c r="Z150" s="19"/>
      <c r="AA150" s="5"/>
    </row>
    <row r="151" spans="17:27" ht="10">
      <c r="Q151" s="5"/>
      <c r="R151" s="4"/>
      <c r="S151" s="5"/>
      <c r="T151" s="5"/>
      <c r="U151" s="4"/>
      <c r="V151" s="5"/>
      <c r="W151" s="5"/>
      <c r="X151" s="5"/>
      <c r="Y151" s="5"/>
      <c r="Z151" s="19"/>
      <c r="AA151" s="5"/>
    </row>
    <row r="152" spans="17:27" ht="10">
      <c r="Q152" s="5"/>
      <c r="R152" s="4"/>
      <c r="S152" s="5"/>
      <c r="T152" s="5"/>
      <c r="U152" s="4"/>
      <c r="V152" s="5"/>
      <c r="W152" s="5"/>
      <c r="X152" s="5"/>
      <c r="Y152" s="5"/>
      <c r="Z152" s="19"/>
      <c r="AA152" s="5"/>
    </row>
    <row r="153" spans="17:27" ht="10">
      <c r="Q153" s="5"/>
      <c r="R153" s="4"/>
      <c r="S153" s="5"/>
      <c r="T153" s="5"/>
      <c r="U153" s="4"/>
      <c r="V153" s="5"/>
      <c r="W153" s="5"/>
      <c r="X153" s="5"/>
      <c r="Y153" s="5"/>
      <c r="Z153" s="19"/>
      <c r="AA153" s="5"/>
    </row>
    <row r="154" spans="17:27" ht="10">
      <c r="Q154" s="5"/>
      <c r="R154" s="4"/>
      <c r="S154" s="5"/>
      <c r="T154" s="5"/>
      <c r="U154" s="4"/>
      <c r="V154" s="5"/>
      <c r="W154" s="5"/>
      <c r="X154" s="5"/>
      <c r="Y154" s="5"/>
      <c r="Z154" s="19"/>
      <c r="AA154" s="5"/>
    </row>
    <row r="155" spans="17:27" ht="10">
      <c r="Q155" s="5"/>
      <c r="R155" s="4"/>
      <c r="S155" s="5"/>
      <c r="T155" s="5"/>
      <c r="U155" s="4"/>
      <c r="V155" s="5"/>
      <c r="W155" s="5"/>
      <c r="X155" s="5"/>
      <c r="Y155" s="5"/>
      <c r="Z155" s="19"/>
      <c r="AA155" s="5"/>
    </row>
    <row r="156" spans="17:27" ht="10">
      <c r="Q156" s="5"/>
      <c r="R156" s="4"/>
      <c r="S156" s="5"/>
      <c r="T156" s="5"/>
      <c r="U156" s="4"/>
      <c r="V156" s="5"/>
      <c r="W156" s="5"/>
      <c r="X156" s="5"/>
      <c r="Y156" s="5"/>
      <c r="Z156" s="19"/>
      <c r="AA156" s="5"/>
    </row>
    <row r="157" spans="17:27" ht="10">
      <c r="Q157" s="5"/>
      <c r="R157" s="4"/>
      <c r="S157" s="5"/>
      <c r="T157" s="5"/>
      <c r="U157" s="4"/>
      <c r="V157" s="5"/>
      <c r="W157" s="5"/>
      <c r="X157" s="5"/>
      <c r="Y157" s="5"/>
      <c r="Z157" s="19"/>
      <c r="AA157" s="5"/>
    </row>
    <row r="158" spans="17:27" ht="10">
      <c r="Q158" s="5"/>
      <c r="R158" s="4"/>
      <c r="S158" s="5"/>
      <c r="T158" s="5"/>
      <c r="U158" s="4"/>
      <c r="V158" s="5"/>
      <c r="W158" s="5"/>
      <c r="X158" s="5"/>
      <c r="Y158" s="5"/>
      <c r="Z158" s="19"/>
      <c r="AA158" s="5"/>
    </row>
    <row r="159" spans="17:27" ht="10">
      <c r="Q159" s="5"/>
      <c r="R159" s="4"/>
      <c r="S159" s="5"/>
      <c r="T159" s="5"/>
      <c r="U159" s="4"/>
      <c r="V159" s="5"/>
      <c r="W159" s="5"/>
      <c r="X159" s="5"/>
      <c r="Y159" s="5"/>
      <c r="Z159" s="19"/>
      <c r="AA159" s="5"/>
    </row>
    <row r="160" spans="17:27" ht="10">
      <c r="Q160" s="5"/>
      <c r="R160" s="4"/>
      <c r="S160" s="5"/>
      <c r="T160" s="5"/>
      <c r="U160" s="4"/>
      <c r="V160" s="5"/>
      <c r="W160" s="5"/>
      <c r="X160" s="5"/>
      <c r="Y160" s="5"/>
      <c r="Z160" s="19"/>
      <c r="AA160" s="5"/>
    </row>
    <row r="161" spans="17:27" ht="10">
      <c r="Q161" s="5"/>
      <c r="R161" s="4"/>
      <c r="S161" s="5"/>
      <c r="T161" s="5"/>
      <c r="U161" s="4"/>
      <c r="V161" s="5"/>
      <c r="W161" s="5"/>
      <c r="X161" s="5"/>
      <c r="Y161" s="5"/>
      <c r="Z161" s="19"/>
      <c r="AA161" s="5"/>
    </row>
    <row r="162" spans="17:27" ht="10">
      <c r="Q162" s="5"/>
      <c r="R162" s="4"/>
      <c r="S162" s="5"/>
      <c r="T162" s="5"/>
      <c r="U162" s="4"/>
      <c r="V162" s="5"/>
      <c r="W162" s="5"/>
      <c r="X162" s="5"/>
      <c r="Y162" s="5"/>
      <c r="Z162" s="19"/>
      <c r="AA162" s="5"/>
    </row>
    <row r="163" spans="17:27" ht="10">
      <c r="Q163" s="5"/>
      <c r="R163" s="4"/>
      <c r="S163" s="5"/>
      <c r="T163" s="5"/>
      <c r="U163" s="4"/>
      <c r="V163" s="5"/>
      <c r="W163" s="5"/>
      <c r="X163" s="5"/>
      <c r="Y163" s="5"/>
      <c r="Z163" s="19"/>
      <c r="AA163" s="5"/>
    </row>
    <row r="164" spans="17:27" ht="10">
      <c r="Q164" s="5"/>
      <c r="R164" s="4"/>
      <c r="S164" s="5"/>
      <c r="T164" s="5"/>
      <c r="U164" s="4"/>
      <c r="V164" s="5"/>
      <c r="W164" s="5"/>
      <c r="X164" s="5"/>
      <c r="Y164" s="5"/>
      <c r="Z164" s="19"/>
      <c r="AA164" s="5"/>
    </row>
    <row r="165" spans="17:27" ht="10">
      <c r="Q165" s="5"/>
      <c r="R165" s="4"/>
      <c r="S165" s="5"/>
      <c r="T165" s="5"/>
      <c r="U165" s="4"/>
      <c r="V165" s="5"/>
      <c r="W165" s="5"/>
      <c r="X165" s="5"/>
      <c r="Y165" s="5"/>
      <c r="Z165" s="19"/>
      <c r="AA165" s="5"/>
    </row>
    <row r="166" spans="17:27" ht="10">
      <c r="Q166" s="5"/>
      <c r="R166" s="4"/>
      <c r="S166" s="5"/>
      <c r="T166" s="5"/>
      <c r="U166" s="4"/>
      <c r="V166" s="5"/>
      <c r="W166" s="5"/>
      <c r="X166" s="5"/>
      <c r="Y166" s="5"/>
      <c r="Z166" s="19"/>
      <c r="AA166" s="5"/>
    </row>
    <row r="167" spans="17:27" ht="10">
      <c r="Q167" s="5"/>
      <c r="R167" s="4"/>
      <c r="S167" s="5"/>
      <c r="T167" s="5"/>
      <c r="U167" s="4"/>
      <c r="V167" s="5"/>
      <c r="W167" s="5"/>
      <c r="X167" s="5"/>
      <c r="Y167" s="5"/>
      <c r="Z167" s="19"/>
      <c r="AA167" s="5"/>
    </row>
    <row r="168" spans="17:27" ht="10">
      <c r="Q168" s="5"/>
      <c r="R168" s="4"/>
      <c r="S168" s="5"/>
      <c r="T168" s="5"/>
      <c r="U168" s="4"/>
      <c r="V168" s="5"/>
      <c r="W168" s="5"/>
      <c r="X168" s="5"/>
      <c r="Y168" s="5"/>
      <c r="Z168" s="19"/>
      <c r="AA168" s="5"/>
    </row>
    <row r="169" spans="17:27" ht="10">
      <c r="Q169" s="5"/>
      <c r="R169" s="4"/>
      <c r="S169" s="5"/>
      <c r="T169" s="5"/>
      <c r="U169" s="4"/>
      <c r="V169" s="5"/>
      <c r="W169" s="5"/>
      <c r="X169" s="5"/>
      <c r="Y169" s="5"/>
      <c r="Z169" s="19"/>
      <c r="AA169" s="5"/>
    </row>
    <row r="170" spans="17:27" ht="10">
      <c r="Q170" s="5"/>
      <c r="R170" s="4"/>
      <c r="S170" s="5"/>
      <c r="T170" s="5"/>
      <c r="U170" s="4"/>
      <c r="V170" s="5"/>
      <c r="W170" s="5"/>
      <c r="X170" s="5"/>
      <c r="Y170" s="5"/>
      <c r="Z170" s="19"/>
      <c r="AA170" s="5"/>
    </row>
    <row r="171" spans="17:27" ht="10">
      <c r="Q171" s="5"/>
      <c r="R171" s="4"/>
      <c r="S171" s="5"/>
      <c r="T171" s="5"/>
      <c r="U171" s="4"/>
      <c r="V171" s="5"/>
      <c r="W171" s="5"/>
      <c r="X171" s="5"/>
      <c r="Y171" s="5"/>
      <c r="Z171" s="19"/>
      <c r="AA171" s="5"/>
    </row>
    <row r="172" spans="17:27" ht="10">
      <c r="Q172" s="5"/>
      <c r="R172" s="4"/>
      <c r="S172" s="5"/>
      <c r="T172" s="5"/>
      <c r="U172" s="4"/>
      <c r="V172" s="5"/>
      <c r="W172" s="5"/>
      <c r="X172" s="5"/>
      <c r="Y172" s="5"/>
      <c r="Z172" s="19"/>
      <c r="AA172" s="5"/>
    </row>
    <row r="173" spans="17:27" ht="10">
      <c r="Q173" s="5"/>
      <c r="R173" s="4"/>
      <c r="S173" s="5"/>
      <c r="T173" s="5"/>
      <c r="U173" s="4"/>
      <c r="V173" s="5"/>
      <c r="W173" s="5"/>
      <c r="X173" s="5"/>
      <c r="Y173" s="5"/>
      <c r="Z173" s="19"/>
      <c r="AA173" s="5"/>
    </row>
    <row r="174" spans="17:27" ht="10">
      <c r="Q174" s="5"/>
      <c r="R174" s="4"/>
      <c r="S174" s="5"/>
      <c r="T174" s="5"/>
      <c r="U174" s="4"/>
      <c r="V174" s="5"/>
      <c r="W174" s="5"/>
      <c r="X174" s="5"/>
      <c r="Y174" s="5"/>
      <c r="Z174" s="19"/>
      <c r="AA174" s="5"/>
    </row>
    <row r="175" spans="17:27" ht="10">
      <c r="Q175" s="5"/>
      <c r="R175" s="4"/>
      <c r="S175" s="5"/>
      <c r="T175" s="5"/>
      <c r="U175" s="4"/>
      <c r="V175" s="5"/>
      <c r="W175" s="5"/>
      <c r="X175" s="5"/>
      <c r="Y175" s="5"/>
      <c r="Z175" s="19"/>
      <c r="AA175" s="5"/>
    </row>
    <row r="176" spans="17:27" ht="10">
      <c r="Q176" s="5"/>
      <c r="R176" s="4"/>
      <c r="S176" s="5"/>
      <c r="T176" s="5"/>
      <c r="U176" s="4"/>
      <c r="V176" s="5"/>
      <c r="W176" s="5"/>
      <c r="X176" s="5"/>
      <c r="Y176" s="5"/>
      <c r="Z176" s="19"/>
      <c r="AA176" s="5"/>
    </row>
    <row r="177" spans="17:27" ht="10">
      <c r="Q177" s="5"/>
      <c r="R177" s="4"/>
      <c r="S177" s="5"/>
      <c r="T177" s="5"/>
      <c r="U177" s="4"/>
      <c r="V177" s="5"/>
      <c r="W177" s="5"/>
      <c r="X177" s="5"/>
      <c r="Y177" s="5"/>
      <c r="Z177" s="19"/>
      <c r="AA177" s="5"/>
    </row>
    <row r="178" spans="17:27" ht="10">
      <c r="Q178" s="5"/>
      <c r="R178" s="4"/>
      <c r="S178" s="5"/>
      <c r="T178" s="5"/>
      <c r="U178" s="4"/>
      <c r="V178" s="5"/>
      <c r="W178" s="5"/>
      <c r="X178" s="5"/>
      <c r="Y178" s="5"/>
      <c r="Z178" s="19"/>
      <c r="AA178" s="5"/>
    </row>
    <row r="179" spans="17:27" ht="10">
      <c r="Q179" s="5"/>
      <c r="R179" s="4"/>
      <c r="S179" s="5"/>
      <c r="T179" s="5"/>
      <c r="U179" s="4"/>
      <c r="V179" s="5"/>
      <c r="W179" s="5"/>
      <c r="X179" s="5"/>
      <c r="Y179" s="5"/>
      <c r="Z179" s="19"/>
      <c r="AA179" s="5"/>
    </row>
    <row r="180" spans="17:27" ht="10">
      <c r="Q180" s="5"/>
      <c r="R180" s="4"/>
      <c r="S180" s="5"/>
      <c r="T180" s="5"/>
      <c r="U180" s="4"/>
      <c r="V180" s="5"/>
      <c r="W180" s="5"/>
      <c r="X180" s="5"/>
      <c r="Y180" s="5"/>
      <c r="Z180" s="19"/>
      <c r="AA180" s="5"/>
    </row>
    <row r="181" spans="17:27" ht="10">
      <c r="Q181" s="5"/>
      <c r="R181" s="4"/>
      <c r="S181" s="5"/>
      <c r="T181" s="5"/>
      <c r="U181" s="4"/>
      <c r="V181" s="5"/>
      <c r="W181" s="5"/>
      <c r="X181" s="5"/>
      <c r="Y181" s="5"/>
      <c r="Z181" s="19"/>
      <c r="AA181" s="5"/>
    </row>
    <row r="182" spans="17:27" ht="10">
      <c r="Q182" s="5"/>
      <c r="R182" s="4"/>
      <c r="S182" s="5"/>
      <c r="T182" s="5"/>
      <c r="U182" s="4"/>
      <c r="V182" s="5"/>
      <c r="W182" s="5"/>
      <c r="X182" s="5"/>
      <c r="Y182" s="5"/>
      <c r="Z182" s="19"/>
      <c r="AA182" s="5"/>
    </row>
    <row r="183" spans="17:27" ht="10">
      <c r="Q183" s="5"/>
      <c r="R183" s="4"/>
      <c r="S183" s="5"/>
      <c r="T183" s="5"/>
      <c r="U183" s="4"/>
      <c r="V183" s="5"/>
      <c r="W183" s="5"/>
      <c r="X183" s="5"/>
      <c r="Y183" s="5"/>
      <c r="Z183" s="19"/>
      <c r="AA183" s="5"/>
    </row>
    <row r="184" spans="17:27" ht="10">
      <c r="Q184" s="5"/>
      <c r="R184" s="4"/>
      <c r="S184" s="5"/>
      <c r="T184" s="5"/>
      <c r="U184" s="4"/>
      <c r="V184" s="5"/>
      <c r="W184" s="5"/>
      <c r="X184" s="5"/>
      <c r="Y184" s="5"/>
      <c r="Z184" s="19"/>
      <c r="AA184" s="5"/>
    </row>
    <row r="185" spans="17:27" ht="10">
      <c r="Q185" s="5"/>
      <c r="R185" s="4"/>
      <c r="S185" s="5"/>
      <c r="T185" s="5"/>
      <c r="U185" s="4"/>
      <c r="V185" s="5"/>
      <c r="W185" s="5"/>
      <c r="X185" s="5"/>
      <c r="Y185" s="5"/>
      <c r="Z185" s="19"/>
      <c r="AA185" s="5"/>
    </row>
    <row r="186" spans="17:27" ht="10">
      <c r="Q186" s="5"/>
      <c r="R186" s="4"/>
      <c r="S186" s="5"/>
      <c r="T186" s="5"/>
      <c r="U186" s="4"/>
      <c r="V186" s="5"/>
      <c r="W186" s="5"/>
      <c r="X186" s="5"/>
      <c r="Y186" s="5"/>
      <c r="Z186" s="19"/>
      <c r="AA186" s="5"/>
    </row>
    <row r="187" spans="17:27" ht="10">
      <c r="Q187" s="5"/>
      <c r="R187" s="4"/>
      <c r="S187" s="5"/>
      <c r="T187" s="5"/>
      <c r="U187" s="4"/>
      <c r="V187" s="5"/>
      <c r="W187" s="5"/>
      <c r="X187" s="5"/>
      <c r="Y187" s="5"/>
      <c r="Z187" s="19"/>
      <c r="AA187" s="5"/>
    </row>
    <row r="188" spans="17:27" ht="10">
      <c r="Q188" s="5"/>
      <c r="R188" s="4"/>
      <c r="S188" s="5"/>
      <c r="T188" s="5"/>
      <c r="U188" s="4"/>
      <c r="V188" s="5"/>
      <c r="W188" s="5"/>
      <c r="X188" s="5"/>
      <c r="Y188" s="5"/>
      <c r="Z188" s="19"/>
      <c r="AA188" s="5"/>
    </row>
    <row r="189" spans="17:27" ht="10">
      <c r="Q189" s="5"/>
      <c r="R189" s="4"/>
      <c r="S189" s="5"/>
      <c r="T189" s="5"/>
      <c r="U189" s="4"/>
      <c r="V189" s="5"/>
      <c r="W189" s="5"/>
      <c r="X189" s="5"/>
      <c r="Y189" s="5"/>
      <c r="Z189" s="19"/>
      <c r="AA189" s="5"/>
    </row>
    <row r="190" spans="17:27" ht="10">
      <c r="Q190" s="5"/>
      <c r="R190" s="4"/>
      <c r="S190" s="5"/>
      <c r="T190" s="5"/>
      <c r="U190" s="4"/>
      <c r="V190" s="5"/>
      <c r="W190" s="5"/>
      <c r="X190" s="5"/>
      <c r="Y190" s="5"/>
      <c r="Z190" s="19"/>
      <c r="AA190" s="5"/>
    </row>
  </sheetData>
  <phoneticPr fontId="3" type="noConversion"/>
  <dataValidations count="2">
    <dataValidation type="list" allowBlank="1" showInputMessage="1" showErrorMessage="1" sqref="B5:B9 B11:B21 B23:B27 B29:B33 B35:B45 B47:B76" xr:uid="{CBD90B58-0215-49F4-A694-A4A734A87D1D}">
      <formula1>INDIRECT("t_TipoDeclaración")</formula1>
    </dataValidation>
    <dataValidation type="list" allowBlank="1" showInputMessage="1" showErrorMessage="1" sqref="C5:C9 C23:C27 C29:C33 C35:C45 C11:C21 C47:C76" xr:uid="{0A69A7BC-3F80-49FA-A926-F496FEEEA8C8}">
      <formula1>INDIRECT("t_"&amp;$B5)</formula1>
    </dataValidation>
  </dataValidations>
  <printOptions horizontalCentered="1"/>
  <pageMargins left="0.19685039370078741" right="0.19685039370078741" top="0.59055118110236227" bottom="0.59055118110236227" header="0.51181102362204722" footer="0.51181102362204722"/>
  <pageSetup scale="30" orientation="landscape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43FD-5B6F-4550-9CD9-E901F3FA5D72}">
  <sheetPr>
    <tabColor theme="3"/>
    <pageSetUpPr fitToPage="1"/>
  </sheetPr>
  <dimension ref="A1:AB190"/>
  <sheetViews>
    <sheetView showGridLines="0" zoomScaleNormal="100" workbookViewId="0">
      <pane xSplit="8" ySplit="3" topLeftCell="Q5" activePane="bottomRight" state="frozen"/>
      <selection pane="topRight" activeCell="H1" sqref="H1"/>
      <selection pane="bottomLeft" activeCell="A4" sqref="A4"/>
      <selection pane="bottomRight" activeCell="Q28" sqref="Q28"/>
    </sheetView>
  </sheetViews>
  <sheetFormatPr baseColWidth="10" defaultColWidth="9.08984375" defaultRowHeight="11.5" outlineLevelRow="1"/>
  <cols>
    <col min="1" max="1" width="11.6328125" style="1" customWidth="1"/>
    <col min="2" max="2" width="12.90625" style="1" customWidth="1"/>
    <col min="3" max="5" width="13.54296875" style="1" customWidth="1"/>
    <col min="6" max="6" width="15" style="1" bestFit="1" customWidth="1"/>
    <col min="7" max="7" width="12.54296875" style="1" customWidth="1"/>
    <col min="8" max="8" width="8.08984375" style="1" bestFit="1" customWidth="1"/>
    <col min="9" max="9" width="14.54296875" style="1" bestFit="1" customWidth="1"/>
    <col min="10" max="11" width="9.36328125" style="1" bestFit="1" customWidth="1"/>
    <col min="12" max="12" width="10.90625" style="1" bestFit="1" customWidth="1"/>
    <col min="13" max="13" width="10.453125" style="1" bestFit="1" customWidth="1"/>
    <col min="14" max="14" width="15.54296875" style="1" customWidth="1"/>
    <col min="15" max="15" width="13.6328125" style="1" customWidth="1"/>
    <col min="16" max="16" width="12.08984375" style="1" customWidth="1"/>
    <col min="17" max="17" width="3.453125" style="1" customWidth="1"/>
    <col min="18" max="18" width="14.90625" style="1" bestFit="1" customWidth="1"/>
    <col min="19" max="19" width="12.6328125" style="2" customWidth="1"/>
    <col min="20" max="20" width="23.08984375" style="1" bestFit="1" customWidth="1"/>
    <col min="21" max="21" width="28.54296875" style="1" customWidth="1"/>
    <col min="22" max="22" width="15.54296875" style="2" customWidth="1"/>
    <col min="23" max="23" width="27" style="1" bestFit="1" customWidth="1"/>
    <col min="24" max="24" width="24.6328125" style="1" bestFit="1" customWidth="1"/>
    <col min="25" max="25" width="24.6328125" style="1" customWidth="1"/>
    <col min="26" max="26" width="34.453125" style="1" bestFit="1" customWidth="1"/>
    <col min="27" max="27" width="3.36328125" style="11" bestFit="1" customWidth="1"/>
    <col min="28" max="28" width="2.54296875" style="1" customWidth="1"/>
    <col min="29" max="16384" width="9.08984375" style="1"/>
  </cols>
  <sheetData>
    <row r="1" spans="1:28" s="48" customFormat="1">
      <c r="A1" s="54">
        <f>+ISN!A1</f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72"/>
      <c r="P1" s="72"/>
      <c r="Q1" s="58" t="s">
        <v>45</v>
      </c>
      <c r="R1" s="58"/>
      <c r="S1" s="58"/>
      <c r="T1" s="58"/>
      <c r="U1" s="58"/>
      <c r="V1" s="58"/>
      <c r="W1" s="58"/>
      <c r="X1" s="58"/>
      <c r="Y1" s="58"/>
      <c r="Z1" s="58"/>
      <c r="AA1" s="55"/>
      <c r="AB1" s="57"/>
    </row>
    <row r="2" spans="1:28" s="48" customFormat="1">
      <c r="A2" s="54" t="s">
        <v>86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72"/>
      <c r="P2" s="72"/>
      <c r="Q2" s="58" t="s">
        <v>45</v>
      </c>
      <c r="R2" s="58"/>
      <c r="S2" s="58"/>
      <c r="T2" s="58"/>
      <c r="U2" s="58"/>
      <c r="V2" s="58"/>
      <c r="W2" s="58"/>
      <c r="X2" s="58"/>
      <c r="Y2" s="58"/>
      <c r="Z2" s="58"/>
      <c r="AA2" s="55"/>
      <c r="AB2" s="57"/>
    </row>
    <row r="3" spans="1:28" s="63" customFormat="1" ht="28.25" customHeight="1">
      <c r="A3" s="9" t="s">
        <v>19</v>
      </c>
      <c r="B3" s="9" t="s">
        <v>18</v>
      </c>
      <c r="C3" s="9" t="s">
        <v>59</v>
      </c>
      <c r="D3" s="9" t="s">
        <v>63</v>
      </c>
      <c r="E3" s="9" t="s">
        <v>83</v>
      </c>
      <c r="F3" s="9" t="s">
        <v>72</v>
      </c>
      <c r="G3" s="9" t="s">
        <v>62</v>
      </c>
      <c r="H3" s="9" t="s">
        <v>64</v>
      </c>
      <c r="I3" s="9" t="s">
        <v>46</v>
      </c>
      <c r="J3" s="9" t="s">
        <v>15</v>
      </c>
      <c r="K3" s="9" t="s">
        <v>67</v>
      </c>
      <c r="L3" s="9" t="s">
        <v>65</v>
      </c>
      <c r="M3" s="9" t="s">
        <v>66</v>
      </c>
      <c r="N3" s="9" t="s">
        <v>76</v>
      </c>
      <c r="O3" s="9" t="s">
        <v>77</v>
      </c>
      <c r="P3" s="9" t="s">
        <v>78</v>
      </c>
      <c r="Q3" s="8"/>
      <c r="R3" s="67" t="s">
        <v>71</v>
      </c>
      <c r="S3" s="10" t="s">
        <v>73</v>
      </c>
      <c r="T3" s="10" t="s">
        <v>68</v>
      </c>
      <c r="U3" s="10" t="s">
        <v>69</v>
      </c>
      <c r="V3" s="10" t="s">
        <v>20</v>
      </c>
      <c r="W3" s="10" t="s">
        <v>16</v>
      </c>
      <c r="X3" s="10" t="s">
        <v>17</v>
      </c>
      <c r="Y3" s="10" t="s">
        <v>81</v>
      </c>
      <c r="Z3" s="10" t="s">
        <v>82</v>
      </c>
      <c r="AA3" s="61"/>
      <c r="AB3" s="62"/>
    </row>
    <row r="4" spans="1:28" s="11" customFormat="1">
      <c r="S4" s="14"/>
      <c r="V4" s="14"/>
    </row>
    <row r="5" spans="1:28" s="21" customFormat="1">
      <c r="A5" s="21" t="s">
        <v>0</v>
      </c>
      <c r="B5" s="20"/>
      <c r="C5" s="20"/>
      <c r="D5" s="64"/>
      <c r="E5" s="64"/>
      <c r="F5" s="66"/>
      <c r="G5" s="65"/>
      <c r="H5" s="23">
        <f>ROUND(F5*G5,0)</f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3">
        <f>H5+I5+J5+K5-L5-M5</f>
        <v>0</v>
      </c>
      <c r="O5" s="23">
        <v>0</v>
      </c>
      <c r="P5" s="73">
        <v>0</v>
      </c>
      <c r="Q5" s="24"/>
      <c r="R5" s="68"/>
      <c r="S5" s="41"/>
      <c r="T5" s="42"/>
      <c r="U5" s="42"/>
      <c r="V5" s="45"/>
      <c r="W5" s="42"/>
      <c r="X5" s="42"/>
      <c r="Y5" s="26"/>
      <c r="Z5" s="42"/>
      <c r="AA5" s="15"/>
      <c r="AB5" s="3"/>
    </row>
    <row r="6" spans="1:28" s="21" customFormat="1" outlineLevel="1">
      <c r="A6" s="21" t="s">
        <v>0</v>
      </c>
      <c r="B6" s="20"/>
      <c r="C6" s="20"/>
      <c r="D6" s="64"/>
      <c r="E6" s="64"/>
      <c r="F6" s="66"/>
      <c r="G6" s="65"/>
      <c r="H6" s="23">
        <f t="shared" ref="H6:H69" si="0">F6*G6</f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3">
        <f t="shared" ref="N6:N20" si="1">H6+I6+J6+K6-L6-M6</f>
        <v>0</v>
      </c>
      <c r="O6" s="23"/>
      <c r="P6" s="73">
        <f>I6+J6+K6+L6-M6-N6</f>
        <v>0</v>
      </c>
      <c r="Q6" s="24"/>
      <c r="R6" s="68"/>
      <c r="S6" s="41"/>
      <c r="T6" s="45"/>
      <c r="U6" s="42"/>
      <c r="V6" s="45"/>
      <c r="W6" s="42"/>
      <c r="X6" s="42"/>
      <c r="Y6" s="42"/>
      <c r="Z6" s="42"/>
      <c r="AA6" s="15"/>
      <c r="AB6" s="44"/>
    </row>
    <row r="7" spans="1:28" s="21" customFormat="1" outlineLevel="1">
      <c r="A7" s="21" t="s">
        <v>0</v>
      </c>
      <c r="B7" s="20"/>
      <c r="C7" s="20"/>
      <c r="D7" s="64"/>
      <c r="E7" s="64"/>
      <c r="F7" s="66"/>
      <c r="G7" s="65"/>
      <c r="H7" s="23">
        <f t="shared" si="0"/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3">
        <f t="shared" si="1"/>
        <v>0</v>
      </c>
      <c r="O7" s="23"/>
      <c r="P7" s="73">
        <f>I7+J7+K7+L7-M7-N7</f>
        <v>0</v>
      </c>
      <c r="Q7" s="24"/>
      <c r="R7" s="68"/>
      <c r="S7" s="41"/>
      <c r="T7" s="45"/>
      <c r="U7" s="42"/>
      <c r="V7" s="45"/>
      <c r="W7" s="42"/>
      <c r="X7" s="42"/>
      <c r="Y7" s="42"/>
      <c r="Z7" s="42"/>
      <c r="AA7" s="15"/>
      <c r="AB7" s="44"/>
    </row>
    <row r="8" spans="1:28" s="21" customFormat="1" outlineLevel="1">
      <c r="A8" s="21" t="s">
        <v>0</v>
      </c>
      <c r="B8" s="20"/>
      <c r="C8" s="20"/>
      <c r="D8" s="64"/>
      <c r="E8" s="64"/>
      <c r="F8" s="66"/>
      <c r="G8" s="65"/>
      <c r="H8" s="23">
        <f t="shared" si="0"/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3">
        <f t="shared" si="1"/>
        <v>0</v>
      </c>
      <c r="O8" s="23"/>
      <c r="P8" s="73">
        <f>I8+J8+K8+L8-M8-N8</f>
        <v>0</v>
      </c>
      <c r="Q8" s="24"/>
      <c r="R8" s="68"/>
      <c r="S8" s="41"/>
      <c r="T8" s="45"/>
      <c r="U8" s="42"/>
      <c r="V8" s="45"/>
      <c r="W8" s="42"/>
      <c r="X8" s="42"/>
      <c r="Y8" s="42"/>
      <c r="Z8" s="42"/>
      <c r="AA8" s="15"/>
      <c r="AB8" s="44"/>
    </row>
    <row r="9" spans="1:28" s="21" customFormat="1" outlineLevel="1">
      <c r="A9" s="21" t="s">
        <v>0</v>
      </c>
      <c r="B9" s="20"/>
      <c r="C9" s="20"/>
      <c r="D9" s="64"/>
      <c r="E9" s="64"/>
      <c r="F9" s="66"/>
      <c r="G9" s="65"/>
      <c r="H9" s="23">
        <f t="shared" si="0"/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3">
        <f t="shared" si="1"/>
        <v>0</v>
      </c>
      <c r="O9" s="23"/>
      <c r="P9" s="73">
        <f>I9+J9+K9+L9-M9-N9</f>
        <v>0</v>
      </c>
      <c r="Q9" s="24"/>
      <c r="R9" s="68"/>
      <c r="S9" s="41"/>
      <c r="T9" s="45"/>
      <c r="U9" s="42"/>
      <c r="V9" s="45"/>
      <c r="W9" s="42"/>
      <c r="X9" s="42"/>
      <c r="Y9" s="42"/>
      <c r="Z9" s="42"/>
      <c r="AA9" s="15"/>
      <c r="AB9" s="44"/>
    </row>
    <row r="10" spans="1:28" s="21" customFormat="1">
      <c r="B10" s="20"/>
      <c r="C10" s="20"/>
      <c r="D10" s="64"/>
      <c r="E10" s="64"/>
      <c r="F10" s="66"/>
      <c r="G10" s="65"/>
      <c r="H10" s="23"/>
      <c r="I10" s="22"/>
      <c r="J10" s="22"/>
      <c r="K10" s="22"/>
      <c r="L10" s="22"/>
      <c r="M10" s="22"/>
      <c r="N10" s="23"/>
      <c r="O10" s="23"/>
      <c r="P10" s="73"/>
      <c r="Q10" s="24"/>
      <c r="R10" s="68"/>
      <c r="S10" s="41"/>
      <c r="T10" s="43"/>
      <c r="U10" s="43"/>
      <c r="V10" s="41"/>
      <c r="W10" s="25"/>
      <c r="X10" s="25"/>
      <c r="Y10" s="25"/>
      <c r="Z10" s="25"/>
      <c r="AA10" s="15"/>
      <c r="AB10" s="25"/>
    </row>
    <row r="11" spans="1:28" s="21" customFormat="1">
      <c r="A11" s="21" t="s">
        <v>1</v>
      </c>
      <c r="B11" s="20"/>
      <c r="C11" s="20"/>
      <c r="D11" s="64"/>
      <c r="E11" s="64"/>
      <c r="F11" s="66"/>
      <c r="G11" s="65"/>
      <c r="H11" s="23">
        <f>ROUND(F11*G11,0)</f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3">
        <f t="shared" si="1"/>
        <v>0</v>
      </c>
      <c r="O11" s="23">
        <v>0</v>
      </c>
      <c r="P11" s="73">
        <v>0</v>
      </c>
      <c r="Q11" s="24"/>
      <c r="R11" s="68"/>
      <c r="S11" s="41"/>
      <c r="T11" s="42"/>
      <c r="U11" s="42"/>
      <c r="V11" s="45"/>
      <c r="W11" s="42"/>
      <c r="X11" s="42"/>
      <c r="Y11" s="26"/>
      <c r="Z11" s="42"/>
      <c r="AA11" s="15"/>
      <c r="AB11" s="42"/>
    </row>
    <row r="12" spans="1:28" s="21" customFormat="1" outlineLevel="1">
      <c r="A12" s="21" t="s">
        <v>1</v>
      </c>
      <c r="B12" s="20"/>
      <c r="C12" s="20"/>
      <c r="D12" s="64"/>
      <c r="E12" s="64"/>
      <c r="F12" s="66"/>
      <c r="G12" s="65"/>
      <c r="H12" s="23">
        <f t="shared" si="0"/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3">
        <f t="shared" si="1"/>
        <v>0</v>
      </c>
      <c r="O12" s="23"/>
      <c r="P12" s="73">
        <f>I12+J12+K12+L12-M12-N12</f>
        <v>0</v>
      </c>
      <c r="Q12" s="24"/>
      <c r="R12" s="68"/>
      <c r="S12" s="41"/>
      <c r="T12" s="45"/>
      <c r="U12" s="42"/>
      <c r="V12" s="45"/>
      <c r="W12" s="42"/>
      <c r="X12" s="42"/>
      <c r="Y12" s="42"/>
      <c r="Z12" s="42"/>
      <c r="AA12" s="15"/>
      <c r="AB12" s="42"/>
    </row>
    <row r="13" spans="1:28" s="21" customFormat="1" outlineLevel="1">
      <c r="A13" s="21" t="s">
        <v>1</v>
      </c>
      <c r="B13" s="20"/>
      <c r="C13" s="20"/>
      <c r="D13" s="64"/>
      <c r="E13" s="64"/>
      <c r="F13" s="66"/>
      <c r="G13" s="65"/>
      <c r="H13" s="23">
        <f t="shared" si="0"/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3">
        <f t="shared" si="1"/>
        <v>0</v>
      </c>
      <c r="O13" s="23"/>
      <c r="P13" s="73">
        <f>I13+J13+K13+L13-M13-N13</f>
        <v>0</v>
      </c>
      <c r="Q13" s="24"/>
      <c r="R13" s="68"/>
      <c r="S13" s="41"/>
      <c r="T13" s="45"/>
      <c r="U13" s="42"/>
      <c r="V13" s="45"/>
      <c r="W13" s="42"/>
      <c r="X13" s="42"/>
      <c r="Y13" s="42"/>
      <c r="Z13" s="42"/>
      <c r="AA13" s="15"/>
      <c r="AB13" s="42"/>
    </row>
    <row r="14" spans="1:28" s="21" customFormat="1" outlineLevel="1">
      <c r="A14" s="21" t="s">
        <v>1</v>
      </c>
      <c r="B14" s="20"/>
      <c r="C14" s="20"/>
      <c r="D14" s="64"/>
      <c r="E14" s="64"/>
      <c r="F14" s="66"/>
      <c r="G14" s="65"/>
      <c r="H14" s="23">
        <f t="shared" si="0"/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3">
        <f t="shared" si="1"/>
        <v>0</v>
      </c>
      <c r="O14" s="23"/>
      <c r="P14" s="73">
        <f>I14+J14+K14+L14-M14-N14</f>
        <v>0</v>
      </c>
      <c r="Q14" s="24"/>
      <c r="R14" s="68"/>
      <c r="S14" s="41"/>
      <c r="T14" s="45"/>
      <c r="U14" s="42"/>
      <c r="V14" s="45"/>
      <c r="W14" s="42"/>
      <c r="X14" s="42"/>
      <c r="Y14" s="42"/>
      <c r="Z14" s="42"/>
      <c r="AA14" s="15"/>
      <c r="AB14" s="42"/>
    </row>
    <row r="15" spans="1:28" s="21" customFormat="1" outlineLevel="1">
      <c r="A15" s="21" t="s">
        <v>1</v>
      </c>
      <c r="B15" s="20"/>
      <c r="C15" s="20"/>
      <c r="D15" s="64"/>
      <c r="E15" s="64"/>
      <c r="F15" s="66"/>
      <c r="G15" s="65"/>
      <c r="H15" s="23">
        <f t="shared" si="0"/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3">
        <f t="shared" si="1"/>
        <v>0</v>
      </c>
      <c r="O15" s="23"/>
      <c r="P15" s="73">
        <f>I15+J15+K15+L15-M15-N15</f>
        <v>0</v>
      </c>
      <c r="Q15" s="24"/>
      <c r="R15" s="68"/>
      <c r="S15" s="41"/>
      <c r="T15" s="45"/>
      <c r="U15" s="42"/>
      <c r="V15" s="45"/>
      <c r="W15" s="42"/>
      <c r="X15" s="42"/>
      <c r="Y15" s="42"/>
      <c r="Z15" s="42"/>
      <c r="AA15" s="15"/>
      <c r="AB15" s="42"/>
    </row>
    <row r="16" spans="1:28" s="21" customFormat="1">
      <c r="B16" s="20"/>
      <c r="C16" s="20"/>
      <c r="D16" s="64"/>
      <c r="E16" s="64"/>
      <c r="F16" s="66"/>
      <c r="G16" s="65"/>
      <c r="H16" s="23"/>
      <c r="I16" s="22"/>
      <c r="J16" s="22"/>
      <c r="K16" s="22"/>
      <c r="L16" s="22"/>
      <c r="M16" s="22"/>
      <c r="N16" s="23"/>
      <c r="O16" s="23"/>
      <c r="P16" s="73"/>
      <c r="Q16" s="24"/>
      <c r="R16" s="68"/>
      <c r="S16" s="41"/>
      <c r="T16" s="45"/>
      <c r="U16" s="42"/>
      <c r="V16" s="45"/>
      <c r="W16" s="42"/>
      <c r="X16" s="42"/>
      <c r="Y16" s="42"/>
      <c r="Z16" s="42"/>
      <c r="AA16" s="15"/>
      <c r="AB16" s="42"/>
    </row>
    <row r="17" spans="1:28" s="21" customFormat="1">
      <c r="A17" s="21" t="s">
        <v>2</v>
      </c>
      <c r="B17" s="20"/>
      <c r="C17" s="20"/>
      <c r="D17" s="64"/>
      <c r="E17" s="64"/>
      <c r="F17" s="66"/>
      <c r="G17" s="65"/>
      <c r="H17" s="23">
        <f>ROUND(F17*G17,0)</f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3">
        <f t="shared" si="1"/>
        <v>0</v>
      </c>
      <c r="O17" s="23">
        <v>0</v>
      </c>
      <c r="P17" s="73">
        <v>0</v>
      </c>
      <c r="Q17" s="24"/>
      <c r="R17" s="68"/>
      <c r="S17" s="41"/>
      <c r="T17" s="42"/>
      <c r="U17" s="42"/>
      <c r="V17" s="45"/>
      <c r="W17" s="42"/>
      <c r="X17" s="42"/>
      <c r="Y17" s="26"/>
      <c r="Z17" s="42"/>
      <c r="AA17" s="15"/>
      <c r="AB17" s="42"/>
    </row>
    <row r="18" spans="1:28" s="21" customFormat="1" outlineLevel="1">
      <c r="A18" s="21" t="s">
        <v>2</v>
      </c>
      <c r="B18" s="20"/>
      <c r="C18" s="20"/>
      <c r="D18" s="64"/>
      <c r="E18" s="64"/>
      <c r="F18" s="66"/>
      <c r="G18" s="65"/>
      <c r="H18" s="23">
        <f t="shared" si="0"/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3">
        <f t="shared" si="1"/>
        <v>0</v>
      </c>
      <c r="O18" s="23"/>
      <c r="P18" s="73">
        <f>I18+J18+K18+L18-M18-N18</f>
        <v>0</v>
      </c>
      <c r="Q18" s="24"/>
      <c r="R18" s="68"/>
      <c r="S18" s="41"/>
      <c r="T18" s="44"/>
      <c r="U18" s="42"/>
      <c r="V18" s="45"/>
      <c r="W18" s="42"/>
      <c r="X18" s="42"/>
      <c r="Y18" s="42"/>
      <c r="Z18" s="42"/>
      <c r="AA18" s="15"/>
      <c r="AB18" s="42"/>
    </row>
    <row r="19" spans="1:28" s="21" customFormat="1" outlineLevel="1">
      <c r="A19" s="21" t="s">
        <v>2</v>
      </c>
      <c r="B19" s="20"/>
      <c r="C19" s="20"/>
      <c r="D19" s="64"/>
      <c r="E19" s="64"/>
      <c r="F19" s="66"/>
      <c r="G19" s="65"/>
      <c r="H19" s="23">
        <f t="shared" si="0"/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3">
        <f t="shared" si="1"/>
        <v>0</v>
      </c>
      <c r="O19" s="23"/>
      <c r="P19" s="73">
        <f>I19+J19+K19+L19-M19-N19</f>
        <v>0</v>
      </c>
      <c r="Q19" s="24"/>
      <c r="R19" s="68"/>
      <c r="S19" s="41"/>
      <c r="T19" s="44"/>
      <c r="U19" s="42"/>
      <c r="V19" s="45"/>
      <c r="W19" s="42"/>
      <c r="X19" s="42"/>
      <c r="Y19" s="42"/>
      <c r="Z19" s="42"/>
      <c r="AA19" s="15"/>
      <c r="AB19" s="42"/>
    </row>
    <row r="20" spans="1:28" s="21" customFormat="1" outlineLevel="1">
      <c r="A20" s="21" t="s">
        <v>2</v>
      </c>
      <c r="B20" s="20"/>
      <c r="C20" s="20"/>
      <c r="D20" s="64"/>
      <c r="E20" s="64"/>
      <c r="F20" s="66"/>
      <c r="G20" s="65"/>
      <c r="H20" s="23">
        <f t="shared" si="0"/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3">
        <f t="shared" si="1"/>
        <v>0</v>
      </c>
      <c r="O20" s="23"/>
      <c r="P20" s="73">
        <f>I20+J20+K20+L20-M20-N20</f>
        <v>0</v>
      </c>
      <c r="Q20" s="24"/>
      <c r="R20" s="68"/>
      <c r="S20" s="41"/>
      <c r="T20" s="44"/>
      <c r="U20" s="42"/>
      <c r="V20" s="45"/>
      <c r="W20" s="42"/>
      <c r="X20" s="42"/>
      <c r="Y20" s="42"/>
      <c r="Z20" s="42"/>
      <c r="AA20" s="15"/>
      <c r="AB20" s="42"/>
    </row>
    <row r="21" spans="1:28" s="21" customFormat="1" outlineLevel="1">
      <c r="B21" s="20"/>
      <c r="C21" s="20"/>
      <c r="D21" s="64"/>
      <c r="E21" s="64"/>
      <c r="F21" s="66"/>
      <c r="G21" s="65"/>
      <c r="H21" s="23"/>
      <c r="I21" s="22"/>
      <c r="J21" s="22"/>
      <c r="K21" s="22"/>
      <c r="L21" s="22"/>
      <c r="M21" s="22"/>
      <c r="N21" s="23"/>
      <c r="O21" s="23"/>
      <c r="P21" s="73"/>
      <c r="Q21" s="24"/>
      <c r="R21" s="68"/>
      <c r="S21" s="41"/>
      <c r="T21" s="44"/>
      <c r="U21" s="42"/>
      <c r="V21" s="45"/>
      <c r="W21" s="42"/>
      <c r="X21" s="42"/>
      <c r="Y21" s="42"/>
      <c r="Z21" s="42"/>
      <c r="AA21" s="15"/>
      <c r="AB21" s="42"/>
    </row>
    <row r="22" spans="1:28" s="21" customFormat="1">
      <c r="B22" s="20"/>
      <c r="C22" s="20"/>
      <c r="D22" s="64"/>
      <c r="E22" s="64"/>
      <c r="F22" s="66"/>
      <c r="G22" s="65"/>
      <c r="H22" s="23"/>
      <c r="I22" s="22"/>
      <c r="J22" s="22"/>
      <c r="K22" s="22"/>
      <c r="L22" s="22"/>
      <c r="M22" s="22"/>
      <c r="N22" s="23"/>
      <c r="O22" s="23"/>
      <c r="P22" s="73"/>
      <c r="Q22" s="24"/>
      <c r="R22" s="68"/>
      <c r="S22" s="41"/>
      <c r="T22" s="25"/>
      <c r="U22" s="43"/>
      <c r="V22" s="41"/>
      <c r="W22" s="25"/>
      <c r="X22" s="25"/>
      <c r="Y22" s="25"/>
      <c r="Z22" s="25"/>
      <c r="AA22" s="15"/>
      <c r="AB22" s="25"/>
    </row>
    <row r="23" spans="1:28" s="21" customFormat="1">
      <c r="A23" s="21" t="s">
        <v>3</v>
      </c>
      <c r="B23" s="20"/>
      <c r="C23" s="20"/>
      <c r="D23" s="64"/>
      <c r="E23" s="64"/>
      <c r="F23" s="66"/>
      <c r="G23" s="65"/>
      <c r="H23" s="23">
        <f>ROUND(F23*G23,0)</f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3">
        <f t="shared" ref="N23:N75" si="2">H23+I23+J23+K23-L23-M23</f>
        <v>0</v>
      </c>
      <c r="O23" s="23">
        <v>0</v>
      </c>
      <c r="P23" s="73">
        <v>0</v>
      </c>
      <c r="Q23" s="24"/>
      <c r="R23" s="68"/>
      <c r="S23" s="41"/>
      <c r="T23" s="42"/>
      <c r="U23" s="42"/>
      <c r="V23" s="41"/>
      <c r="W23" s="42"/>
      <c r="X23" s="42"/>
      <c r="Y23" s="26"/>
      <c r="Z23" s="42"/>
      <c r="AA23" s="15"/>
      <c r="AB23" s="42"/>
    </row>
    <row r="24" spans="1:28" s="21" customFormat="1" outlineLevel="1">
      <c r="A24" s="21" t="s">
        <v>3</v>
      </c>
      <c r="B24" s="20"/>
      <c r="C24" s="20"/>
      <c r="D24" s="64"/>
      <c r="E24" s="64"/>
      <c r="F24" s="66"/>
      <c r="G24" s="65"/>
      <c r="H24" s="23">
        <f t="shared" si="0"/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3">
        <f t="shared" si="2"/>
        <v>0</v>
      </c>
      <c r="O24" s="23"/>
      <c r="P24" s="73">
        <f>I24+J24+K24+L24-M24-N24</f>
        <v>0</v>
      </c>
      <c r="Q24" s="24"/>
      <c r="R24" s="68"/>
      <c r="S24" s="41"/>
      <c r="T24" s="42"/>
      <c r="U24" s="42"/>
      <c r="V24" s="41"/>
      <c r="W24" s="42"/>
      <c r="X24" s="42"/>
      <c r="Y24" s="42"/>
      <c r="Z24" s="42"/>
      <c r="AA24" s="15"/>
      <c r="AB24" s="42"/>
    </row>
    <row r="25" spans="1:28" s="21" customFormat="1" outlineLevel="1">
      <c r="A25" s="21" t="s">
        <v>3</v>
      </c>
      <c r="B25" s="20"/>
      <c r="C25" s="20"/>
      <c r="D25" s="64"/>
      <c r="E25" s="64"/>
      <c r="F25" s="66"/>
      <c r="G25" s="65"/>
      <c r="H25" s="23">
        <f t="shared" si="0"/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3">
        <f t="shared" si="2"/>
        <v>0</v>
      </c>
      <c r="O25" s="23"/>
      <c r="P25" s="73">
        <f>I25+J25+K25+L25-M25-N25</f>
        <v>0</v>
      </c>
      <c r="Q25" s="24"/>
      <c r="R25" s="68"/>
      <c r="S25" s="41"/>
      <c r="T25" s="42"/>
      <c r="U25" s="42"/>
      <c r="V25" s="41"/>
      <c r="W25" s="42"/>
      <c r="X25" s="42"/>
      <c r="Y25" s="42"/>
      <c r="Z25" s="42"/>
      <c r="AA25" s="15"/>
      <c r="AB25" s="42"/>
    </row>
    <row r="26" spans="1:28" s="21" customFormat="1" outlineLevel="1">
      <c r="A26" s="21" t="s">
        <v>3</v>
      </c>
      <c r="B26" s="20"/>
      <c r="C26" s="20"/>
      <c r="D26" s="64"/>
      <c r="E26" s="64"/>
      <c r="F26" s="66"/>
      <c r="G26" s="65"/>
      <c r="H26" s="23">
        <f t="shared" si="0"/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3">
        <f t="shared" si="2"/>
        <v>0</v>
      </c>
      <c r="O26" s="23"/>
      <c r="P26" s="73">
        <f>I26+J26+K26+L26-M26-N26</f>
        <v>0</v>
      </c>
      <c r="Q26" s="24"/>
      <c r="R26" s="68"/>
      <c r="S26" s="41"/>
      <c r="T26" s="42"/>
      <c r="U26" s="42"/>
      <c r="V26" s="41"/>
      <c r="W26" s="42"/>
      <c r="X26" s="42"/>
      <c r="Y26" s="42"/>
      <c r="Z26" s="42"/>
      <c r="AA26" s="15"/>
      <c r="AB26" s="42"/>
    </row>
    <row r="27" spans="1:28" s="21" customFormat="1" outlineLevel="1">
      <c r="A27" s="21" t="s">
        <v>3</v>
      </c>
      <c r="B27" s="20"/>
      <c r="C27" s="20"/>
      <c r="D27" s="64"/>
      <c r="E27" s="64"/>
      <c r="F27" s="66"/>
      <c r="G27" s="65"/>
      <c r="H27" s="23">
        <f t="shared" si="0"/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3">
        <f t="shared" si="2"/>
        <v>0</v>
      </c>
      <c r="O27" s="23"/>
      <c r="P27" s="73">
        <f>I27+J27+K27+L27-M27-N27</f>
        <v>0</v>
      </c>
      <c r="Q27" s="24"/>
      <c r="R27" s="68"/>
      <c r="S27" s="41"/>
      <c r="T27" s="42"/>
      <c r="U27" s="42"/>
      <c r="V27" s="41"/>
      <c r="W27" s="42"/>
      <c r="X27" s="42"/>
      <c r="Y27" s="42"/>
      <c r="Z27" s="42"/>
      <c r="AA27" s="15"/>
      <c r="AB27" s="42"/>
    </row>
    <row r="28" spans="1:28" s="21" customFormat="1">
      <c r="B28" s="20"/>
      <c r="C28" s="20"/>
      <c r="D28" s="64"/>
      <c r="E28" s="64"/>
      <c r="F28" s="66"/>
      <c r="G28" s="65"/>
      <c r="H28" s="23"/>
      <c r="I28" s="22"/>
      <c r="J28" s="22"/>
      <c r="K28" s="22"/>
      <c r="L28" s="22"/>
      <c r="M28" s="22"/>
      <c r="N28" s="23"/>
      <c r="O28" s="23"/>
      <c r="P28" s="73"/>
      <c r="Q28" s="24"/>
      <c r="R28" s="68"/>
      <c r="S28" s="41"/>
      <c r="T28" s="25"/>
      <c r="U28" s="43"/>
      <c r="V28" s="41"/>
      <c r="W28" s="25"/>
      <c r="X28" s="25"/>
      <c r="Y28" s="25"/>
      <c r="Z28" s="25"/>
      <c r="AA28" s="15"/>
      <c r="AB28" s="25"/>
    </row>
    <row r="29" spans="1:28" s="21" customFormat="1">
      <c r="A29" s="21" t="s">
        <v>4</v>
      </c>
      <c r="B29" s="20"/>
      <c r="C29" s="20"/>
      <c r="D29" s="64"/>
      <c r="E29" s="64"/>
      <c r="F29" s="66"/>
      <c r="G29" s="65"/>
      <c r="H29" s="23">
        <f>ROUND(F29*G29,0)</f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3">
        <f t="shared" si="2"/>
        <v>0</v>
      </c>
      <c r="O29" s="23">
        <v>0</v>
      </c>
      <c r="P29" s="73">
        <v>0</v>
      </c>
      <c r="Q29" s="24"/>
      <c r="R29" s="68"/>
      <c r="S29" s="41"/>
      <c r="T29" s="42"/>
      <c r="U29" s="42"/>
      <c r="V29" s="45"/>
      <c r="W29" s="42"/>
      <c r="X29" s="42"/>
      <c r="Y29" s="26"/>
      <c r="Z29" s="42"/>
      <c r="AA29" s="15"/>
      <c r="AB29" s="42"/>
    </row>
    <row r="30" spans="1:28" s="21" customFormat="1" outlineLevel="1">
      <c r="A30" s="21" t="s">
        <v>4</v>
      </c>
      <c r="B30" s="20"/>
      <c r="C30" s="20"/>
      <c r="D30" s="64"/>
      <c r="E30" s="64"/>
      <c r="F30" s="66"/>
      <c r="G30" s="65"/>
      <c r="H30" s="23">
        <f t="shared" si="0"/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3">
        <f t="shared" si="2"/>
        <v>0</v>
      </c>
      <c r="O30" s="23"/>
      <c r="P30" s="73">
        <f>I30+J30+K30+L30-M30-N30</f>
        <v>0</v>
      </c>
      <c r="Q30" s="24"/>
      <c r="R30" s="68"/>
      <c r="S30" s="41"/>
      <c r="T30" s="42"/>
      <c r="U30" s="42"/>
      <c r="V30" s="45"/>
      <c r="W30" s="26"/>
      <c r="X30" s="42"/>
      <c r="Y30" s="42"/>
      <c r="Z30" s="42"/>
      <c r="AA30" s="15"/>
      <c r="AB30" s="42"/>
    </row>
    <row r="31" spans="1:28" s="21" customFormat="1" outlineLevel="1">
      <c r="A31" s="21" t="s">
        <v>4</v>
      </c>
      <c r="B31" s="20"/>
      <c r="C31" s="20"/>
      <c r="D31" s="64"/>
      <c r="E31" s="64"/>
      <c r="F31" s="66"/>
      <c r="G31" s="65"/>
      <c r="H31" s="23">
        <f t="shared" si="0"/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3">
        <f t="shared" si="2"/>
        <v>0</v>
      </c>
      <c r="O31" s="23"/>
      <c r="P31" s="73">
        <f>I31+J31+K31+L31-M31-N31</f>
        <v>0</v>
      </c>
      <c r="Q31" s="24"/>
      <c r="R31" s="68"/>
      <c r="S31" s="41"/>
      <c r="T31" s="42"/>
      <c r="U31" s="42"/>
      <c r="V31" s="45"/>
      <c r="W31" s="26"/>
      <c r="X31" s="42"/>
      <c r="Y31" s="42"/>
      <c r="Z31" s="42"/>
      <c r="AA31" s="15"/>
      <c r="AB31" s="42"/>
    </row>
    <row r="32" spans="1:28" s="21" customFormat="1" outlineLevel="1">
      <c r="A32" s="21" t="s">
        <v>4</v>
      </c>
      <c r="B32" s="20"/>
      <c r="C32" s="20"/>
      <c r="D32" s="64"/>
      <c r="E32" s="64"/>
      <c r="F32" s="66"/>
      <c r="G32" s="65"/>
      <c r="H32" s="23">
        <f t="shared" si="0"/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3">
        <f t="shared" si="2"/>
        <v>0</v>
      </c>
      <c r="O32" s="23"/>
      <c r="P32" s="73">
        <f>I32+J32+K32+L32-M32-N32</f>
        <v>0</v>
      </c>
      <c r="Q32" s="24"/>
      <c r="R32" s="68"/>
      <c r="S32" s="41"/>
      <c r="T32" s="42"/>
      <c r="U32" s="42"/>
      <c r="V32" s="45"/>
      <c r="W32" s="26"/>
      <c r="X32" s="42"/>
      <c r="Y32" s="42"/>
      <c r="Z32" s="42"/>
      <c r="AA32" s="15"/>
      <c r="AB32" s="42"/>
    </row>
    <row r="33" spans="1:28" s="21" customFormat="1" outlineLevel="1">
      <c r="A33" s="21" t="s">
        <v>4</v>
      </c>
      <c r="B33" s="20"/>
      <c r="C33" s="20"/>
      <c r="D33" s="64"/>
      <c r="E33" s="64"/>
      <c r="F33" s="66"/>
      <c r="G33" s="65"/>
      <c r="H33" s="23">
        <f t="shared" si="0"/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3">
        <f t="shared" si="2"/>
        <v>0</v>
      </c>
      <c r="O33" s="23"/>
      <c r="P33" s="73">
        <f>I33+J33+K33+L33-M33-N33</f>
        <v>0</v>
      </c>
      <c r="Q33" s="24"/>
      <c r="R33" s="68"/>
      <c r="S33" s="41"/>
      <c r="T33" s="42"/>
      <c r="U33" s="42"/>
      <c r="V33" s="45"/>
      <c r="W33" s="26"/>
      <c r="X33" s="42"/>
      <c r="Y33" s="42"/>
      <c r="Z33" s="42"/>
      <c r="AA33" s="15"/>
      <c r="AB33" s="42"/>
    </row>
    <row r="34" spans="1:28" s="21" customFormat="1">
      <c r="B34" s="20"/>
      <c r="C34" s="20"/>
      <c r="D34" s="64"/>
      <c r="E34" s="64"/>
      <c r="F34" s="66"/>
      <c r="G34" s="65"/>
      <c r="H34" s="23"/>
      <c r="I34" s="22"/>
      <c r="J34" s="22"/>
      <c r="K34" s="22"/>
      <c r="L34" s="22"/>
      <c r="M34" s="22"/>
      <c r="N34" s="23"/>
      <c r="O34" s="23"/>
      <c r="P34" s="73"/>
      <c r="Q34" s="24"/>
      <c r="R34" s="68"/>
      <c r="S34" s="41"/>
      <c r="T34" s="25"/>
      <c r="U34" s="43"/>
      <c r="V34" s="41"/>
      <c r="W34" s="25"/>
      <c r="X34" s="25"/>
      <c r="Y34" s="25"/>
      <c r="Z34" s="25"/>
      <c r="AA34" s="15"/>
      <c r="AB34" s="25"/>
    </row>
    <row r="35" spans="1:28" s="21" customFormat="1">
      <c r="A35" s="21" t="s">
        <v>5</v>
      </c>
      <c r="B35" s="20"/>
      <c r="C35" s="20"/>
      <c r="D35" s="64"/>
      <c r="E35" s="64"/>
      <c r="F35" s="66"/>
      <c r="G35" s="65"/>
      <c r="H35" s="23">
        <f>ROUND(F35*G35,0)</f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3">
        <f t="shared" si="2"/>
        <v>0</v>
      </c>
      <c r="O35" s="23">
        <v>0</v>
      </c>
      <c r="P35" s="73">
        <v>0</v>
      </c>
      <c r="Q35" s="24"/>
      <c r="R35" s="68"/>
      <c r="S35" s="41"/>
      <c r="T35" s="42"/>
      <c r="U35" s="42"/>
      <c r="V35" s="45"/>
      <c r="W35" s="42"/>
      <c r="X35" s="42"/>
      <c r="Y35" s="26"/>
      <c r="Z35" s="42"/>
      <c r="AA35" s="15"/>
      <c r="AB35" s="42"/>
    </row>
    <row r="36" spans="1:28" s="21" customFormat="1" outlineLevel="1">
      <c r="A36" s="21" t="s">
        <v>5</v>
      </c>
      <c r="B36" s="20"/>
      <c r="C36" s="20"/>
      <c r="D36" s="64"/>
      <c r="E36" s="64"/>
      <c r="F36" s="66"/>
      <c r="G36" s="65"/>
      <c r="H36" s="23">
        <f t="shared" si="0"/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3">
        <f t="shared" si="2"/>
        <v>0</v>
      </c>
      <c r="O36" s="23"/>
      <c r="P36" s="73">
        <f>I36+J36+K36+L36-M36-N36</f>
        <v>0</v>
      </c>
      <c r="Q36" s="24"/>
      <c r="R36" s="68"/>
      <c r="S36" s="41"/>
      <c r="T36" s="42"/>
      <c r="U36" s="42"/>
      <c r="V36" s="45"/>
      <c r="W36" s="26"/>
      <c r="X36" s="42"/>
      <c r="Y36" s="42"/>
      <c r="Z36" s="42"/>
      <c r="AA36" s="15"/>
      <c r="AB36" s="42"/>
    </row>
    <row r="37" spans="1:28" s="21" customFormat="1" outlineLevel="1">
      <c r="A37" s="21" t="s">
        <v>5</v>
      </c>
      <c r="B37" s="20"/>
      <c r="C37" s="20"/>
      <c r="D37" s="64"/>
      <c r="E37" s="64"/>
      <c r="F37" s="66"/>
      <c r="G37" s="65"/>
      <c r="H37" s="23">
        <f t="shared" si="0"/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3">
        <f t="shared" si="2"/>
        <v>0</v>
      </c>
      <c r="O37" s="23"/>
      <c r="P37" s="73">
        <f>I37+J37+K37+L37-M37-N37</f>
        <v>0</v>
      </c>
      <c r="Q37" s="24"/>
      <c r="R37" s="68"/>
      <c r="S37" s="41"/>
      <c r="T37" s="42"/>
      <c r="U37" s="42"/>
      <c r="V37" s="45"/>
      <c r="W37" s="26"/>
      <c r="X37" s="42"/>
      <c r="Y37" s="42"/>
      <c r="Z37" s="42"/>
      <c r="AA37" s="15"/>
      <c r="AB37" s="42"/>
    </row>
    <row r="38" spans="1:28" s="21" customFormat="1" outlineLevel="1">
      <c r="A38" s="21" t="s">
        <v>5</v>
      </c>
      <c r="B38" s="20"/>
      <c r="C38" s="20"/>
      <c r="D38" s="64"/>
      <c r="E38" s="64"/>
      <c r="F38" s="66"/>
      <c r="G38" s="65"/>
      <c r="H38" s="23">
        <f t="shared" si="0"/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3">
        <f t="shared" si="2"/>
        <v>0</v>
      </c>
      <c r="O38" s="23"/>
      <c r="P38" s="73">
        <f>I38+J38+K38+L38-M38-N38</f>
        <v>0</v>
      </c>
      <c r="Q38" s="24"/>
      <c r="R38" s="68"/>
      <c r="S38" s="41"/>
      <c r="T38" s="42"/>
      <c r="U38" s="42"/>
      <c r="V38" s="45"/>
      <c r="W38" s="26"/>
      <c r="X38" s="42"/>
      <c r="Y38" s="42"/>
      <c r="Z38" s="42"/>
      <c r="AA38" s="15"/>
      <c r="AB38" s="42"/>
    </row>
    <row r="39" spans="1:28" s="21" customFormat="1" outlineLevel="1">
      <c r="A39" s="21" t="s">
        <v>5</v>
      </c>
      <c r="B39" s="20"/>
      <c r="C39" s="20"/>
      <c r="D39" s="64"/>
      <c r="E39" s="64"/>
      <c r="F39" s="66"/>
      <c r="G39" s="65"/>
      <c r="H39" s="23">
        <f t="shared" si="0"/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3">
        <f t="shared" si="2"/>
        <v>0</v>
      </c>
      <c r="O39" s="23"/>
      <c r="P39" s="73">
        <f>I39+J39+K39+L39-M39-N39</f>
        <v>0</v>
      </c>
      <c r="Q39" s="24"/>
      <c r="R39" s="68"/>
      <c r="S39" s="41"/>
      <c r="T39" s="42"/>
      <c r="U39" s="42"/>
      <c r="V39" s="45"/>
      <c r="W39" s="26"/>
      <c r="X39" s="42"/>
      <c r="Y39" s="42"/>
      <c r="Z39" s="42"/>
      <c r="AA39" s="15"/>
      <c r="AB39" s="42"/>
    </row>
    <row r="40" spans="1:28" s="21" customFormat="1">
      <c r="B40" s="20"/>
      <c r="C40" s="20"/>
      <c r="D40" s="64"/>
      <c r="E40" s="64"/>
      <c r="F40" s="66"/>
      <c r="G40" s="65"/>
      <c r="H40" s="23"/>
      <c r="I40" s="22"/>
      <c r="J40" s="22"/>
      <c r="K40" s="22"/>
      <c r="L40" s="22"/>
      <c r="M40" s="22"/>
      <c r="N40" s="23"/>
      <c r="O40" s="23"/>
      <c r="P40" s="73"/>
      <c r="Q40" s="24"/>
      <c r="R40" s="68"/>
      <c r="S40" s="41"/>
      <c r="T40" s="42"/>
      <c r="U40" s="42"/>
      <c r="V40" s="45"/>
      <c r="W40" s="42"/>
      <c r="X40" s="42"/>
      <c r="Y40" s="42"/>
      <c r="Z40" s="42"/>
      <c r="AA40" s="15"/>
      <c r="AB40" s="42"/>
    </row>
    <row r="41" spans="1:28" s="21" customFormat="1">
      <c r="A41" s="21" t="s">
        <v>6</v>
      </c>
      <c r="B41" s="20"/>
      <c r="C41" s="20"/>
      <c r="D41" s="64"/>
      <c r="E41" s="64"/>
      <c r="F41" s="66"/>
      <c r="G41" s="65"/>
      <c r="H41" s="23">
        <f>ROUND(F41*G41,0)</f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3">
        <f t="shared" si="2"/>
        <v>0</v>
      </c>
      <c r="O41" s="23">
        <v>0</v>
      </c>
      <c r="P41" s="73">
        <v>0</v>
      </c>
      <c r="Q41" s="24"/>
      <c r="R41" s="68"/>
      <c r="S41" s="41"/>
      <c r="T41" s="42"/>
      <c r="U41" s="42"/>
      <c r="V41" s="45"/>
      <c r="W41" s="42"/>
      <c r="X41" s="42"/>
      <c r="Y41" s="26"/>
      <c r="Z41" s="42"/>
      <c r="AA41" s="15"/>
      <c r="AB41" s="42"/>
    </row>
    <row r="42" spans="1:28" s="21" customFormat="1" outlineLevel="1">
      <c r="A42" s="21" t="s">
        <v>6</v>
      </c>
      <c r="B42" s="20"/>
      <c r="C42" s="20"/>
      <c r="D42" s="64"/>
      <c r="E42" s="64"/>
      <c r="F42" s="66"/>
      <c r="G42" s="65"/>
      <c r="H42" s="23">
        <f t="shared" si="0"/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3">
        <f t="shared" si="2"/>
        <v>0</v>
      </c>
      <c r="O42" s="23"/>
      <c r="P42" s="73">
        <f>I42+J42+K42+L42-M42-N42</f>
        <v>0</v>
      </c>
      <c r="Q42" s="24"/>
      <c r="R42" s="68"/>
      <c r="S42" s="41"/>
      <c r="T42" s="42"/>
      <c r="U42" s="42"/>
      <c r="V42" s="45"/>
      <c r="W42" s="26"/>
      <c r="X42" s="42"/>
      <c r="Y42" s="42"/>
      <c r="Z42" s="42"/>
      <c r="AA42" s="15"/>
      <c r="AB42" s="42"/>
    </row>
    <row r="43" spans="1:28" s="21" customFormat="1" outlineLevel="1">
      <c r="A43" s="21" t="s">
        <v>6</v>
      </c>
      <c r="B43" s="20"/>
      <c r="C43" s="20"/>
      <c r="D43" s="64"/>
      <c r="E43" s="64"/>
      <c r="F43" s="66"/>
      <c r="G43" s="65"/>
      <c r="H43" s="23">
        <f t="shared" si="0"/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3">
        <f t="shared" si="2"/>
        <v>0</v>
      </c>
      <c r="O43" s="23"/>
      <c r="P43" s="73">
        <f>I43+J43+K43+L43-M43-N43</f>
        <v>0</v>
      </c>
      <c r="Q43" s="24"/>
      <c r="R43" s="68"/>
      <c r="S43" s="41"/>
      <c r="T43" s="42"/>
      <c r="U43" s="42"/>
      <c r="V43" s="45"/>
      <c r="W43" s="26"/>
      <c r="X43" s="42"/>
      <c r="Y43" s="42"/>
      <c r="Z43" s="42"/>
      <c r="AA43" s="15"/>
      <c r="AB43" s="42"/>
    </row>
    <row r="44" spans="1:28" s="21" customFormat="1" outlineLevel="1">
      <c r="A44" s="21" t="s">
        <v>6</v>
      </c>
      <c r="B44" s="20"/>
      <c r="C44" s="20"/>
      <c r="D44" s="64"/>
      <c r="E44" s="64"/>
      <c r="F44" s="66"/>
      <c r="G44" s="65"/>
      <c r="H44" s="23">
        <f t="shared" si="0"/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3">
        <f t="shared" si="2"/>
        <v>0</v>
      </c>
      <c r="O44" s="23"/>
      <c r="P44" s="73">
        <f>I44+J44+K44+L44-M44-N44</f>
        <v>0</v>
      </c>
      <c r="Q44" s="24"/>
      <c r="R44" s="68"/>
      <c r="S44" s="41"/>
      <c r="T44" s="42"/>
      <c r="U44" s="42"/>
      <c r="V44" s="45"/>
      <c r="W44" s="26"/>
      <c r="X44" s="42"/>
      <c r="Y44" s="42"/>
      <c r="Z44" s="42"/>
      <c r="AA44" s="15"/>
      <c r="AB44" s="42"/>
    </row>
    <row r="45" spans="1:28" s="21" customFormat="1" outlineLevel="1">
      <c r="A45" s="21" t="s">
        <v>6</v>
      </c>
      <c r="B45" s="20"/>
      <c r="C45" s="20"/>
      <c r="D45" s="64"/>
      <c r="E45" s="64"/>
      <c r="F45" s="66"/>
      <c r="G45" s="65"/>
      <c r="H45" s="23">
        <f t="shared" si="0"/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3">
        <f t="shared" si="2"/>
        <v>0</v>
      </c>
      <c r="O45" s="23"/>
      <c r="P45" s="73">
        <f>I45+J45+K45+L45-M45-N45</f>
        <v>0</v>
      </c>
      <c r="Q45" s="24"/>
      <c r="R45" s="68"/>
      <c r="S45" s="41"/>
      <c r="T45" s="42"/>
      <c r="U45" s="42"/>
      <c r="V45" s="45"/>
      <c r="W45" s="26"/>
      <c r="X45" s="42"/>
      <c r="Y45" s="42"/>
      <c r="Z45" s="42"/>
      <c r="AA45" s="15"/>
      <c r="AB45" s="42"/>
    </row>
    <row r="46" spans="1:28" s="21" customFormat="1">
      <c r="B46" s="20"/>
      <c r="C46" s="20"/>
      <c r="D46" s="64"/>
      <c r="E46" s="64"/>
      <c r="F46" s="66"/>
      <c r="G46" s="65"/>
      <c r="H46" s="23"/>
      <c r="I46" s="22"/>
      <c r="J46" s="22"/>
      <c r="K46" s="22"/>
      <c r="L46" s="22"/>
      <c r="M46" s="22"/>
      <c r="N46" s="23"/>
      <c r="O46" s="23"/>
      <c r="P46" s="73"/>
      <c r="Q46" s="24"/>
      <c r="R46" s="68"/>
      <c r="S46" s="41"/>
      <c r="T46" s="25"/>
      <c r="U46" s="43"/>
      <c r="V46" s="41"/>
      <c r="W46" s="25"/>
      <c r="X46" s="25"/>
      <c r="Y46" s="25"/>
      <c r="Z46" s="25"/>
      <c r="AA46" s="15"/>
      <c r="AB46" s="25"/>
    </row>
    <row r="47" spans="1:28" s="21" customFormat="1">
      <c r="A47" s="21" t="s">
        <v>7</v>
      </c>
      <c r="B47" s="20"/>
      <c r="C47" s="20"/>
      <c r="D47" s="64"/>
      <c r="E47" s="64"/>
      <c r="F47" s="66"/>
      <c r="G47" s="65"/>
      <c r="H47" s="23">
        <f>ROUND(F47*G47,0)</f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3">
        <f t="shared" si="2"/>
        <v>0</v>
      </c>
      <c r="O47" s="23">
        <v>0</v>
      </c>
      <c r="P47" s="73">
        <v>0</v>
      </c>
      <c r="Q47" s="24"/>
      <c r="R47" s="68"/>
      <c r="S47" s="41"/>
      <c r="T47" s="42"/>
      <c r="U47" s="42"/>
      <c r="V47" s="45"/>
      <c r="W47" s="42"/>
      <c r="X47" s="42"/>
      <c r="Y47" s="26"/>
      <c r="Z47" s="42"/>
      <c r="AA47" s="15"/>
      <c r="AB47" s="42"/>
    </row>
    <row r="48" spans="1:28" s="21" customFormat="1" outlineLevel="1">
      <c r="A48" s="21" t="s">
        <v>7</v>
      </c>
      <c r="B48" s="20"/>
      <c r="C48" s="20"/>
      <c r="D48" s="64"/>
      <c r="E48" s="64"/>
      <c r="F48" s="66"/>
      <c r="G48" s="65"/>
      <c r="H48" s="23">
        <f t="shared" si="0"/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3">
        <f t="shared" si="2"/>
        <v>0</v>
      </c>
      <c r="O48" s="23">
        <v>0</v>
      </c>
      <c r="P48" s="73">
        <f>I48+J48+K48+L48-M48-N48</f>
        <v>0</v>
      </c>
      <c r="Q48" s="24"/>
      <c r="R48" s="68"/>
      <c r="S48" s="41"/>
      <c r="T48" s="42"/>
      <c r="U48" s="42"/>
      <c r="V48" s="45"/>
      <c r="W48" s="26"/>
      <c r="X48" s="42"/>
      <c r="Y48" s="42"/>
      <c r="Z48" s="42"/>
      <c r="AA48" s="15"/>
      <c r="AB48" s="42"/>
    </row>
    <row r="49" spans="1:28" s="21" customFormat="1" outlineLevel="1">
      <c r="A49" s="21" t="s">
        <v>7</v>
      </c>
      <c r="B49" s="20"/>
      <c r="C49" s="20"/>
      <c r="D49" s="64"/>
      <c r="E49" s="64"/>
      <c r="F49" s="66"/>
      <c r="G49" s="65"/>
      <c r="H49" s="23">
        <f t="shared" si="0"/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3">
        <f t="shared" si="2"/>
        <v>0</v>
      </c>
      <c r="O49" s="23">
        <v>0</v>
      </c>
      <c r="P49" s="73">
        <f>I49+J49+K49+L49-M49-N49</f>
        <v>0</v>
      </c>
      <c r="Q49" s="24"/>
      <c r="R49" s="68"/>
      <c r="S49" s="41"/>
      <c r="T49" s="42"/>
      <c r="U49" s="42"/>
      <c r="V49" s="45"/>
      <c r="W49" s="26"/>
      <c r="X49" s="42"/>
      <c r="Y49" s="42"/>
      <c r="Z49" s="42"/>
      <c r="AA49" s="15"/>
      <c r="AB49" s="42"/>
    </row>
    <row r="50" spans="1:28" s="21" customFormat="1" outlineLevel="1">
      <c r="A50" s="21" t="s">
        <v>7</v>
      </c>
      <c r="B50" s="20"/>
      <c r="C50" s="20"/>
      <c r="D50" s="64"/>
      <c r="E50" s="64"/>
      <c r="F50" s="66"/>
      <c r="G50" s="65"/>
      <c r="H50" s="23">
        <f t="shared" si="0"/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3">
        <f t="shared" si="2"/>
        <v>0</v>
      </c>
      <c r="O50" s="23">
        <v>0</v>
      </c>
      <c r="P50" s="73">
        <f>I50+J50+K50+L50-M50-N50</f>
        <v>0</v>
      </c>
      <c r="Q50" s="24"/>
      <c r="R50" s="68"/>
      <c r="S50" s="41"/>
      <c r="T50" s="42"/>
      <c r="U50" s="42"/>
      <c r="V50" s="45"/>
      <c r="W50" s="26"/>
      <c r="X50" s="42"/>
      <c r="Y50" s="42"/>
      <c r="Z50" s="42"/>
      <c r="AA50" s="15"/>
      <c r="AB50" s="42"/>
    </row>
    <row r="51" spans="1:28" s="21" customFormat="1" outlineLevel="1">
      <c r="A51" s="21" t="s">
        <v>7</v>
      </c>
      <c r="B51" s="20"/>
      <c r="C51" s="20"/>
      <c r="D51" s="64"/>
      <c r="E51" s="64"/>
      <c r="F51" s="66"/>
      <c r="G51" s="65"/>
      <c r="H51" s="23">
        <f t="shared" si="0"/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3">
        <f t="shared" si="2"/>
        <v>0</v>
      </c>
      <c r="O51" s="23">
        <v>0</v>
      </c>
      <c r="P51" s="73">
        <f>I51+J51+K51+L51-M51-N51</f>
        <v>0</v>
      </c>
      <c r="Q51" s="24"/>
      <c r="R51" s="68"/>
      <c r="S51" s="41"/>
      <c r="T51" s="42"/>
      <c r="U51" s="42"/>
      <c r="V51" s="45"/>
      <c r="W51" s="26"/>
      <c r="X51" s="42"/>
      <c r="Y51" s="42"/>
      <c r="Z51" s="42"/>
      <c r="AA51" s="15"/>
      <c r="AB51" s="42"/>
    </row>
    <row r="52" spans="1:28" s="21" customFormat="1">
      <c r="B52" s="20"/>
      <c r="C52" s="20"/>
      <c r="D52" s="64"/>
      <c r="E52" s="64"/>
      <c r="F52" s="66"/>
      <c r="G52" s="65"/>
      <c r="H52" s="23"/>
      <c r="I52" s="22"/>
      <c r="J52" s="22"/>
      <c r="K52" s="22"/>
      <c r="L52" s="22"/>
      <c r="M52" s="22"/>
      <c r="N52" s="23"/>
      <c r="O52" s="23"/>
      <c r="P52" s="73"/>
      <c r="Q52" s="24"/>
      <c r="R52" s="68"/>
      <c r="S52" s="41"/>
      <c r="T52" s="42"/>
      <c r="U52" s="42"/>
      <c r="V52" s="45"/>
      <c r="W52" s="42"/>
      <c r="X52" s="42"/>
      <c r="Y52" s="42"/>
      <c r="Z52" s="42"/>
      <c r="AA52" s="15"/>
      <c r="AB52" s="42"/>
    </row>
    <row r="53" spans="1:28" s="21" customFormat="1">
      <c r="A53" s="21" t="s">
        <v>8</v>
      </c>
      <c r="B53" s="20"/>
      <c r="C53" s="20"/>
      <c r="D53" s="64"/>
      <c r="E53" s="64"/>
      <c r="F53" s="66"/>
      <c r="G53" s="65"/>
      <c r="H53" s="23">
        <f>ROUND(F53*G53,0)</f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3">
        <f t="shared" si="2"/>
        <v>0</v>
      </c>
      <c r="O53" s="23">
        <v>0</v>
      </c>
      <c r="P53" s="73">
        <v>0</v>
      </c>
      <c r="Q53" s="24"/>
      <c r="R53" s="68"/>
      <c r="S53" s="41"/>
      <c r="T53" s="42"/>
      <c r="U53" s="42"/>
      <c r="V53" s="45"/>
      <c r="W53" s="42"/>
      <c r="X53" s="42"/>
      <c r="Y53" s="26"/>
      <c r="Z53" s="42"/>
      <c r="AA53" s="15"/>
      <c r="AB53" s="42"/>
    </row>
    <row r="54" spans="1:28" s="21" customFormat="1" outlineLevel="1">
      <c r="A54" s="21" t="s">
        <v>8</v>
      </c>
      <c r="B54" s="20"/>
      <c r="C54" s="20"/>
      <c r="D54" s="64"/>
      <c r="E54" s="64"/>
      <c r="F54" s="66"/>
      <c r="G54" s="65"/>
      <c r="H54" s="23">
        <f t="shared" si="0"/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3">
        <f t="shared" si="2"/>
        <v>0</v>
      </c>
      <c r="O54" s="23">
        <v>0</v>
      </c>
      <c r="P54" s="73">
        <f>I54+J54+K54+L54-M54-N54</f>
        <v>0</v>
      </c>
      <c r="Q54" s="24"/>
      <c r="R54" s="68"/>
      <c r="S54" s="41"/>
      <c r="T54" s="42"/>
      <c r="U54" s="42"/>
      <c r="V54" s="45"/>
      <c r="W54" s="26"/>
      <c r="X54" s="42"/>
      <c r="Y54" s="42"/>
      <c r="Z54" s="42"/>
      <c r="AA54" s="15"/>
      <c r="AB54" s="42"/>
    </row>
    <row r="55" spans="1:28" s="21" customFormat="1" outlineLevel="1">
      <c r="A55" s="21" t="s">
        <v>8</v>
      </c>
      <c r="B55" s="20"/>
      <c r="C55" s="20"/>
      <c r="D55" s="64"/>
      <c r="E55" s="64"/>
      <c r="F55" s="66"/>
      <c r="G55" s="65"/>
      <c r="H55" s="23">
        <f t="shared" si="0"/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3">
        <f t="shared" si="2"/>
        <v>0</v>
      </c>
      <c r="O55" s="23">
        <v>0</v>
      </c>
      <c r="P55" s="73">
        <f>I55+J55+K55+L55-M55-N55</f>
        <v>0</v>
      </c>
      <c r="Q55" s="24"/>
      <c r="R55" s="68"/>
      <c r="S55" s="41"/>
      <c r="T55" s="42"/>
      <c r="U55" s="42"/>
      <c r="V55" s="45"/>
      <c r="W55" s="26"/>
      <c r="X55" s="42"/>
      <c r="Y55" s="42"/>
      <c r="Z55" s="42"/>
      <c r="AA55" s="15"/>
      <c r="AB55" s="42"/>
    </row>
    <row r="56" spans="1:28" s="21" customFormat="1" outlineLevel="1">
      <c r="A56" s="21" t="s">
        <v>8</v>
      </c>
      <c r="B56" s="20"/>
      <c r="C56" s="20"/>
      <c r="D56" s="64"/>
      <c r="E56" s="64"/>
      <c r="F56" s="66"/>
      <c r="G56" s="65"/>
      <c r="H56" s="23">
        <f t="shared" si="0"/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3">
        <f t="shared" si="2"/>
        <v>0</v>
      </c>
      <c r="O56" s="23">
        <v>0</v>
      </c>
      <c r="P56" s="73">
        <f>I56+J56+K56+L56-M56-N56</f>
        <v>0</v>
      </c>
      <c r="Q56" s="24"/>
      <c r="R56" s="68"/>
      <c r="S56" s="41"/>
      <c r="T56" s="42"/>
      <c r="U56" s="42"/>
      <c r="V56" s="45"/>
      <c r="W56" s="26"/>
      <c r="X56" s="42"/>
      <c r="Y56" s="42"/>
      <c r="Z56" s="42"/>
      <c r="AA56" s="15"/>
      <c r="AB56" s="42"/>
    </row>
    <row r="57" spans="1:28" s="21" customFormat="1" outlineLevel="1">
      <c r="A57" s="21" t="s">
        <v>8</v>
      </c>
      <c r="B57" s="20"/>
      <c r="C57" s="20"/>
      <c r="D57" s="64"/>
      <c r="E57" s="64"/>
      <c r="F57" s="66"/>
      <c r="G57" s="65"/>
      <c r="H57" s="23">
        <f t="shared" si="0"/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3">
        <f t="shared" si="2"/>
        <v>0</v>
      </c>
      <c r="O57" s="23">
        <v>0</v>
      </c>
      <c r="P57" s="73">
        <f>I57+J57+K57+L57-M57-N57</f>
        <v>0</v>
      </c>
      <c r="Q57" s="24"/>
      <c r="R57" s="68"/>
      <c r="S57" s="41"/>
      <c r="T57" s="42"/>
      <c r="U57" s="42"/>
      <c r="V57" s="45"/>
      <c r="W57" s="26"/>
      <c r="X57" s="42"/>
      <c r="Y57" s="42"/>
      <c r="Z57" s="42"/>
      <c r="AA57" s="15"/>
      <c r="AB57" s="42"/>
    </row>
    <row r="58" spans="1:28" s="21" customFormat="1">
      <c r="B58" s="20"/>
      <c r="C58" s="20"/>
      <c r="D58" s="64"/>
      <c r="E58" s="64"/>
      <c r="F58" s="66"/>
      <c r="G58" s="65"/>
      <c r="H58" s="23"/>
      <c r="I58" s="22"/>
      <c r="J58" s="22"/>
      <c r="K58" s="22"/>
      <c r="L58" s="22"/>
      <c r="M58" s="22"/>
      <c r="N58" s="23"/>
      <c r="O58" s="23"/>
      <c r="P58" s="73"/>
      <c r="Q58" s="24"/>
      <c r="R58" s="68"/>
      <c r="S58" s="41"/>
      <c r="T58" s="42"/>
      <c r="U58" s="42"/>
      <c r="V58" s="45"/>
      <c r="W58" s="42"/>
      <c r="X58" s="42"/>
      <c r="Y58" s="42"/>
      <c r="Z58" s="42"/>
      <c r="AA58" s="15"/>
      <c r="AB58" s="42"/>
    </row>
    <row r="59" spans="1:28" s="21" customFormat="1">
      <c r="A59" s="21" t="s">
        <v>9</v>
      </c>
      <c r="B59" s="20"/>
      <c r="C59" s="20"/>
      <c r="D59" s="64"/>
      <c r="E59" s="64"/>
      <c r="F59" s="66"/>
      <c r="G59" s="65"/>
      <c r="H59" s="23">
        <f>ROUND(F59*G59,0)</f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3">
        <f t="shared" si="2"/>
        <v>0</v>
      </c>
      <c r="O59" s="23">
        <v>0</v>
      </c>
      <c r="P59" s="73">
        <v>0</v>
      </c>
      <c r="Q59" s="24"/>
      <c r="R59" s="68"/>
      <c r="S59" s="41"/>
      <c r="T59" s="42"/>
      <c r="U59" s="42"/>
      <c r="V59" s="45"/>
      <c r="W59" s="42"/>
      <c r="X59" s="42"/>
      <c r="Y59" s="26"/>
      <c r="Z59" s="42"/>
      <c r="AA59" s="15"/>
      <c r="AB59" s="42"/>
    </row>
    <row r="60" spans="1:28" s="21" customFormat="1" outlineLevel="1">
      <c r="A60" s="21" t="s">
        <v>9</v>
      </c>
      <c r="B60" s="20"/>
      <c r="C60" s="20"/>
      <c r="D60" s="64"/>
      <c r="E60" s="64"/>
      <c r="F60" s="66"/>
      <c r="G60" s="65"/>
      <c r="H60" s="23">
        <f t="shared" si="0"/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3">
        <f t="shared" si="2"/>
        <v>0</v>
      </c>
      <c r="O60" s="23">
        <f>J60+K60+L60+M60-N60-P60</f>
        <v>0</v>
      </c>
      <c r="P60" s="73">
        <f>I60+J60+K60+L60-M60-N60</f>
        <v>0</v>
      </c>
      <c r="Q60" s="24"/>
      <c r="R60" s="68"/>
      <c r="S60" s="41"/>
      <c r="T60" s="42"/>
      <c r="U60" s="42"/>
      <c r="V60" s="45"/>
      <c r="W60" s="26"/>
      <c r="X60" s="42"/>
      <c r="Y60" s="42"/>
      <c r="Z60" s="42"/>
      <c r="AA60" s="15"/>
      <c r="AB60" s="42"/>
    </row>
    <row r="61" spans="1:28" s="21" customFormat="1" outlineLevel="1">
      <c r="A61" s="21" t="s">
        <v>9</v>
      </c>
      <c r="B61" s="20"/>
      <c r="C61" s="20"/>
      <c r="D61" s="64"/>
      <c r="E61" s="64"/>
      <c r="F61" s="66"/>
      <c r="G61" s="65"/>
      <c r="H61" s="23">
        <f t="shared" si="0"/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3">
        <f t="shared" si="2"/>
        <v>0</v>
      </c>
      <c r="O61" s="23">
        <f>J61+K61+L61+M61-N61-P61</f>
        <v>0</v>
      </c>
      <c r="P61" s="73">
        <f>I61+J61+K61+L61-M61-N61</f>
        <v>0</v>
      </c>
      <c r="Q61" s="24"/>
      <c r="R61" s="68"/>
      <c r="S61" s="41"/>
      <c r="T61" s="42"/>
      <c r="U61" s="42"/>
      <c r="V61" s="45"/>
      <c r="W61" s="26"/>
      <c r="X61" s="42"/>
      <c r="Y61" s="42"/>
      <c r="Z61" s="42"/>
      <c r="AA61" s="15"/>
      <c r="AB61" s="42"/>
    </row>
    <row r="62" spans="1:28" s="21" customFormat="1" outlineLevel="1">
      <c r="A62" s="21" t="s">
        <v>9</v>
      </c>
      <c r="B62" s="20"/>
      <c r="C62" s="20"/>
      <c r="D62" s="64"/>
      <c r="E62" s="64"/>
      <c r="F62" s="66"/>
      <c r="G62" s="65"/>
      <c r="H62" s="23">
        <f t="shared" si="0"/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3">
        <f t="shared" si="2"/>
        <v>0</v>
      </c>
      <c r="O62" s="23">
        <f>J62+K62+L62+M62-N62-P62</f>
        <v>0</v>
      </c>
      <c r="P62" s="73">
        <f>I62+J62+K62+L62-M62-N62</f>
        <v>0</v>
      </c>
      <c r="Q62" s="24"/>
      <c r="R62" s="68"/>
      <c r="S62" s="41"/>
      <c r="T62" s="42"/>
      <c r="U62" s="42"/>
      <c r="V62" s="45"/>
      <c r="W62" s="26"/>
      <c r="X62" s="42"/>
      <c r="Y62" s="42"/>
      <c r="Z62" s="42"/>
      <c r="AA62" s="15"/>
      <c r="AB62" s="42"/>
    </row>
    <row r="63" spans="1:28" s="21" customFormat="1" outlineLevel="1">
      <c r="A63" s="21" t="s">
        <v>9</v>
      </c>
      <c r="B63" s="20"/>
      <c r="C63" s="20"/>
      <c r="D63" s="64"/>
      <c r="E63" s="64"/>
      <c r="F63" s="66"/>
      <c r="G63" s="65"/>
      <c r="H63" s="23">
        <f t="shared" si="0"/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3">
        <f t="shared" si="2"/>
        <v>0</v>
      </c>
      <c r="O63" s="23">
        <f>J63+K63+L63+M63-N63-P63</f>
        <v>0</v>
      </c>
      <c r="P63" s="73">
        <f>I63+J63+K63+L63-M63-N63</f>
        <v>0</v>
      </c>
      <c r="Q63" s="24"/>
      <c r="R63" s="68"/>
      <c r="S63" s="41"/>
      <c r="T63" s="42"/>
      <c r="U63" s="42"/>
      <c r="V63" s="45"/>
      <c r="W63" s="26"/>
      <c r="X63" s="42"/>
      <c r="Y63" s="42"/>
      <c r="Z63" s="42"/>
      <c r="AA63" s="15"/>
      <c r="AB63" s="42"/>
    </row>
    <row r="64" spans="1:28" s="21" customFormat="1">
      <c r="B64" s="20"/>
      <c r="C64" s="20"/>
      <c r="D64" s="64"/>
      <c r="E64" s="64"/>
      <c r="F64" s="66"/>
      <c r="G64" s="65"/>
      <c r="H64" s="23"/>
      <c r="I64" s="22"/>
      <c r="J64" s="22"/>
      <c r="K64" s="22"/>
      <c r="L64" s="22"/>
      <c r="M64" s="22"/>
      <c r="N64" s="23"/>
      <c r="O64" s="23"/>
      <c r="P64" s="73"/>
      <c r="Q64" s="24"/>
      <c r="R64" s="68"/>
      <c r="S64" s="41"/>
      <c r="T64" s="42"/>
      <c r="U64" s="42"/>
      <c r="V64" s="45"/>
      <c r="W64" s="42"/>
      <c r="X64" s="42"/>
      <c r="Y64" s="42"/>
      <c r="Z64" s="42"/>
      <c r="AA64" s="15"/>
      <c r="AB64" s="42"/>
    </row>
    <row r="65" spans="1:28" s="21" customFormat="1">
      <c r="A65" s="21" t="s">
        <v>10</v>
      </c>
      <c r="B65" s="20"/>
      <c r="C65" s="20"/>
      <c r="D65" s="64"/>
      <c r="E65" s="64"/>
      <c r="F65" s="66"/>
      <c r="G65" s="65"/>
      <c r="H65" s="23">
        <f>ROUND(F65*G65,0)</f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3">
        <f t="shared" si="2"/>
        <v>0</v>
      </c>
      <c r="O65" s="23">
        <v>0</v>
      </c>
      <c r="P65" s="73">
        <v>0</v>
      </c>
      <c r="Q65" s="24"/>
      <c r="R65" s="68"/>
      <c r="S65" s="41"/>
      <c r="T65" s="42"/>
      <c r="U65" s="42"/>
      <c r="V65" s="45"/>
      <c r="W65" s="42"/>
      <c r="X65" s="42"/>
      <c r="Y65" s="26"/>
      <c r="Z65" s="42"/>
      <c r="AA65" s="15"/>
      <c r="AB65" s="42"/>
    </row>
    <row r="66" spans="1:28" s="21" customFormat="1" outlineLevel="1">
      <c r="A66" s="21" t="s">
        <v>10</v>
      </c>
      <c r="B66" s="20"/>
      <c r="C66" s="20"/>
      <c r="D66" s="64"/>
      <c r="E66" s="64"/>
      <c r="F66" s="66"/>
      <c r="G66" s="65"/>
      <c r="H66" s="23">
        <f t="shared" si="0"/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3">
        <f t="shared" si="2"/>
        <v>0</v>
      </c>
      <c r="O66" s="23">
        <f>J66+K66+L66+M66-N66-P66</f>
        <v>0</v>
      </c>
      <c r="P66" s="73">
        <f>I66+J66+K66+L66-M66-N66</f>
        <v>0</v>
      </c>
      <c r="Q66" s="24"/>
      <c r="R66" s="68"/>
      <c r="S66" s="41"/>
      <c r="T66" s="42"/>
      <c r="U66" s="42"/>
      <c r="V66" s="45"/>
      <c r="W66" s="26"/>
      <c r="X66" s="42"/>
      <c r="Y66" s="42"/>
      <c r="Z66" s="42"/>
      <c r="AA66" s="15"/>
      <c r="AB66" s="42"/>
    </row>
    <row r="67" spans="1:28" s="21" customFormat="1" outlineLevel="1">
      <c r="A67" s="21" t="s">
        <v>10</v>
      </c>
      <c r="B67" s="20"/>
      <c r="C67" s="20"/>
      <c r="D67" s="64"/>
      <c r="E67" s="64"/>
      <c r="F67" s="66"/>
      <c r="G67" s="65"/>
      <c r="H67" s="23">
        <f t="shared" si="0"/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3">
        <f t="shared" si="2"/>
        <v>0</v>
      </c>
      <c r="O67" s="23">
        <f>J67+K67+L67+M67-N67-P67</f>
        <v>0</v>
      </c>
      <c r="P67" s="73">
        <f>I67+J67+K67+L67-M67-N67</f>
        <v>0</v>
      </c>
      <c r="Q67" s="24"/>
      <c r="R67" s="68"/>
      <c r="S67" s="41"/>
      <c r="T67" s="42"/>
      <c r="U67" s="42"/>
      <c r="V67" s="45"/>
      <c r="W67" s="26"/>
      <c r="X67" s="42"/>
      <c r="Y67" s="42"/>
      <c r="Z67" s="42"/>
      <c r="AA67" s="15"/>
      <c r="AB67" s="42"/>
    </row>
    <row r="68" spans="1:28" s="21" customFormat="1" outlineLevel="1">
      <c r="A68" s="21" t="s">
        <v>10</v>
      </c>
      <c r="B68" s="20"/>
      <c r="C68" s="20"/>
      <c r="D68" s="64"/>
      <c r="E68" s="64"/>
      <c r="F68" s="66"/>
      <c r="G68" s="65"/>
      <c r="H68" s="23">
        <f t="shared" si="0"/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3">
        <f t="shared" si="2"/>
        <v>0</v>
      </c>
      <c r="O68" s="23">
        <f>J68+K68+L68+M68-N68-P68</f>
        <v>0</v>
      </c>
      <c r="P68" s="73">
        <f>I68+J68+K68+L68-M68-N68</f>
        <v>0</v>
      </c>
      <c r="Q68" s="24"/>
      <c r="R68" s="68"/>
      <c r="S68" s="41"/>
      <c r="T68" s="42"/>
      <c r="U68" s="42"/>
      <c r="V68" s="45"/>
      <c r="W68" s="26"/>
      <c r="X68" s="42"/>
      <c r="Y68" s="42"/>
      <c r="Z68" s="42"/>
      <c r="AA68" s="15"/>
      <c r="AB68" s="42"/>
    </row>
    <row r="69" spans="1:28" s="21" customFormat="1" outlineLevel="1">
      <c r="A69" s="21" t="s">
        <v>10</v>
      </c>
      <c r="B69" s="20"/>
      <c r="C69" s="20"/>
      <c r="D69" s="64"/>
      <c r="E69" s="64"/>
      <c r="F69" s="66"/>
      <c r="G69" s="65"/>
      <c r="H69" s="23">
        <f t="shared" si="0"/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3">
        <f t="shared" si="2"/>
        <v>0</v>
      </c>
      <c r="O69" s="23">
        <f>J69+K69+L69+M69-N69-P69</f>
        <v>0</v>
      </c>
      <c r="P69" s="73">
        <f>I69+J69+K69+L69-M69-N69</f>
        <v>0</v>
      </c>
      <c r="Q69" s="24"/>
      <c r="R69" s="68"/>
      <c r="S69" s="41"/>
      <c r="T69" s="42"/>
      <c r="U69" s="42"/>
      <c r="V69" s="45"/>
      <c r="W69" s="26"/>
      <c r="X69" s="42"/>
      <c r="Y69" s="42"/>
      <c r="Z69" s="42"/>
      <c r="AA69" s="15"/>
      <c r="AB69" s="42"/>
    </row>
    <row r="70" spans="1:28" s="21" customFormat="1">
      <c r="B70" s="20"/>
      <c r="C70" s="20"/>
      <c r="D70" s="64"/>
      <c r="E70" s="64"/>
      <c r="F70" s="66"/>
      <c r="G70" s="65"/>
      <c r="H70" s="23"/>
      <c r="I70" s="22"/>
      <c r="J70" s="22"/>
      <c r="K70" s="22"/>
      <c r="L70" s="22"/>
      <c r="M70" s="22"/>
      <c r="N70" s="23"/>
      <c r="O70" s="23"/>
      <c r="P70" s="73"/>
      <c r="Q70" s="24"/>
      <c r="R70" s="68"/>
      <c r="S70" s="41"/>
      <c r="T70" s="42"/>
      <c r="U70" s="42"/>
      <c r="V70" s="45"/>
      <c r="W70" s="42"/>
      <c r="X70" s="42"/>
      <c r="Y70" s="42"/>
      <c r="Z70" s="42"/>
      <c r="AA70" s="15"/>
      <c r="AB70" s="42"/>
    </row>
    <row r="71" spans="1:28" s="21" customFormat="1">
      <c r="A71" s="21" t="s">
        <v>11</v>
      </c>
      <c r="B71" s="20"/>
      <c r="C71" s="20"/>
      <c r="D71" s="64"/>
      <c r="E71" s="64"/>
      <c r="F71" s="66"/>
      <c r="G71" s="65"/>
      <c r="H71" s="23">
        <f>ROUND(F71*G71,0)</f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3">
        <f t="shared" si="2"/>
        <v>0</v>
      </c>
      <c r="O71" s="23">
        <v>0</v>
      </c>
      <c r="P71" s="73">
        <v>0</v>
      </c>
      <c r="Q71" s="24"/>
      <c r="R71" s="68"/>
      <c r="S71" s="41"/>
      <c r="T71" s="42"/>
      <c r="U71" s="42"/>
      <c r="V71" s="45"/>
      <c r="W71" s="42"/>
      <c r="X71" s="42"/>
      <c r="Y71" s="26"/>
      <c r="Z71" s="42"/>
      <c r="AA71" s="15"/>
      <c r="AB71" s="42"/>
    </row>
    <row r="72" spans="1:28" s="21" customFormat="1" outlineLevel="1">
      <c r="A72" s="21" t="s">
        <v>11</v>
      </c>
      <c r="B72" s="20"/>
      <c r="C72" s="20"/>
      <c r="D72" s="64"/>
      <c r="E72" s="64"/>
      <c r="F72" s="22"/>
      <c r="G72" s="65"/>
      <c r="H72" s="23">
        <f t="shared" ref="H72:H75" si="3">F72*G72</f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3">
        <f t="shared" si="2"/>
        <v>0</v>
      </c>
      <c r="O72" s="23"/>
      <c r="P72" s="23"/>
      <c r="Q72" s="24"/>
      <c r="R72" s="26"/>
      <c r="S72" s="41"/>
      <c r="T72" s="42"/>
      <c r="U72" s="42"/>
      <c r="V72" s="45"/>
      <c r="W72" s="26"/>
      <c r="X72" s="42"/>
      <c r="Y72" s="42"/>
      <c r="Z72" s="42"/>
      <c r="AA72" s="15"/>
      <c r="AB72" s="42"/>
    </row>
    <row r="73" spans="1:28" s="21" customFormat="1" outlineLevel="1">
      <c r="A73" s="21" t="s">
        <v>11</v>
      </c>
      <c r="B73" s="20"/>
      <c r="C73" s="20"/>
      <c r="D73" s="64"/>
      <c r="E73" s="64"/>
      <c r="F73" s="22"/>
      <c r="G73" s="65"/>
      <c r="H73" s="23">
        <f t="shared" si="3"/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3">
        <f t="shared" si="2"/>
        <v>0</v>
      </c>
      <c r="O73" s="23"/>
      <c r="P73" s="23"/>
      <c r="Q73" s="24"/>
      <c r="R73" s="26"/>
      <c r="S73" s="41"/>
      <c r="T73" s="42"/>
      <c r="U73" s="42"/>
      <c r="V73" s="45"/>
      <c r="W73" s="26"/>
      <c r="X73" s="42"/>
      <c r="Y73" s="42"/>
      <c r="Z73" s="42"/>
      <c r="AA73" s="15"/>
      <c r="AB73" s="42"/>
    </row>
    <row r="74" spans="1:28" s="21" customFormat="1" outlineLevel="1">
      <c r="A74" s="21" t="s">
        <v>11</v>
      </c>
      <c r="B74" s="20"/>
      <c r="C74" s="20"/>
      <c r="D74" s="64"/>
      <c r="E74" s="64"/>
      <c r="F74" s="22"/>
      <c r="G74" s="65"/>
      <c r="H74" s="23">
        <f t="shared" si="3"/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3">
        <f t="shared" si="2"/>
        <v>0</v>
      </c>
      <c r="O74" s="23"/>
      <c r="P74" s="23"/>
      <c r="Q74" s="24"/>
      <c r="R74" s="26"/>
      <c r="S74" s="41"/>
      <c r="T74" s="42"/>
      <c r="U74" s="42"/>
      <c r="V74" s="45"/>
      <c r="W74" s="26"/>
      <c r="X74" s="42"/>
      <c r="Y74" s="42"/>
      <c r="Z74" s="42"/>
      <c r="AA74" s="15"/>
      <c r="AB74" s="42"/>
    </row>
    <row r="75" spans="1:28" s="21" customFormat="1" outlineLevel="1">
      <c r="A75" s="21" t="s">
        <v>11</v>
      </c>
      <c r="B75" s="20"/>
      <c r="C75" s="20"/>
      <c r="D75" s="64"/>
      <c r="E75" s="64"/>
      <c r="F75" s="22"/>
      <c r="G75" s="65"/>
      <c r="H75" s="23">
        <f t="shared" si="3"/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3">
        <f t="shared" si="2"/>
        <v>0</v>
      </c>
      <c r="O75" s="23"/>
      <c r="P75" s="23"/>
      <c r="Q75" s="24"/>
      <c r="R75" s="26"/>
      <c r="S75" s="41"/>
      <c r="T75" s="42"/>
      <c r="U75" s="42"/>
      <c r="V75" s="45"/>
      <c r="W75" s="26"/>
      <c r="X75" s="42"/>
      <c r="Y75" s="42"/>
      <c r="Z75" s="42"/>
      <c r="AA75" s="15"/>
      <c r="AB75" s="42"/>
    </row>
    <row r="76" spans="1:28" s="21" customFormat="1" ht="12" thickBot="1">
      <c r="B76" s="20"/>
      <c r="C76" s="20"/>
      <c r="D76" s="64"/>
      <c r="E76" s="64"/>
      <c r="F76" s="22"/>
      <c r="G76" s="22"/>
      <c r="H76" s="22"/>
      <c r="I76" s="22"/>
      <c r="J76" s="22"/>
      <c r="K76" s="22"/>
      <c r="L76" s="22"/>
      <c r="M76" s="22"/>
      <c r="N76" s="23"/>
      <c r="O76" s="23"/>
      <c r="P76" s="23"/>
      <c r="Q76" s="24"/>
      <c r="R76" s="26"/>
      <c r="S76" s="41"/>
      <c r="T76" s="43"/>
      <c r="U76" s="42"/>
      <c r="V76" s="45"/>
      <c r="W76" s="42"/>
      <c r="X76" s="42"/>
      <c r="Y76" s="42"/>
      <c r="Z76" s="42"/>
      <c r="AA76" s="42"/>
      <c r="AB76" s="42"/>
    </row>
    <row r="77" spans="1:28" s="21" customFormat="1" ht="12" thickTop="1">
      <c r="A77" s="27" t="s">
        <v>12</v>
      </c>
      <c r="B77" s="27"/>
      <c r="C77" s="27"/>
      <c r="D77" s="28"/>
      <c r="E77" s="47">
        <f t="shared" ref="E77:O77" si="4">SUM(E5:E76)</f>
        <v>0</v>
      </c>
      <c r="F77" s="47">
        <f t="shared" si="4"/>
        <v>0</v>
      </c>
      <c r="G77" s="70">
        <v>0.04</v>
      </c>
      <c r="H77" s="47">
        <f t="shared" si="4"/>
        <v>0</v>
      </c>
      <c r="I77" s="47">
        <f t="shared" si="4"/>
        <v>0</v>
      </c>
      <c r="J77" s="47">
        <f t="shared" si="4"/>
        <v>0</v>
      </c>
      <c r="K77" s="47">
        <f t="shared" si="4"/>
        <v>0</v>
      </c>
      <c r="L77" s="47">
        <f t="shared" si="4"/>
        <v>0</v>
      </c>
      <c r="M77" s="47">
        <f t="shared" si="4"/>
        <v>0</v>
      </c>
      <c r="N77" s="47">
        <f t="shared" si="4"/>
        <v>0</v>
      </c>
      <c r="O77" s="47">
        <f t="shared" si="4"/>
        <v>0</v>
      </c>
      <c r="P77" s="47">
        <f>SUM(P5:P76)</f>
        <v>0</v>
      </c>
      <c r="Q77" s="24"/>
      <c r="R77" s="74"/>
      <c r="S77" s="41"/>
      <c r="T77" s="43"/>
      <c r="U77" s="42"/>
      <c r="V77" s="41"/>
      <c r="W77" s="26"/>
      <c r="X77" s="42"/>
      <c r="Y77" s="42"/>
      <c r="Z77" s="42"/>
      <c r="AA77" s="42"/>
      <c r="AB77" s="42"/>
    </row>
    <row r="78" spans="1:28" s="21" customFormat="1" ht="12" thickBot="1">
      <c r="D78" s="30"/>
      <c r="E78" s="30"/>
      <c r="F78" s="30"/>
      <c r="G78" s="30"/>
      <c r="H78" s="30"/>
      <c r="I78" s="30"/>
      <c r="J78" s="30"/>
      <c r="K78" s="30"/>
      <c r="L78" s="38"/>
      <c r="M78" s="38"/>
      <c r="N78" s="30"/>
      <c r="O78" s="30"/>
      <c r="P78" s="30"/>
      <c r="R78" s="25"/>
      <c r="S78" s="29"/>
      <c r="T78" s="25"/>
      <c r="U78" s="25"/>
      <c r="V78" s="29"/>
      <c r="W78" s="25"/>
      <c r="X78" s="25"/>
      <c r="Y78" s="25"/>
      <c r="Z78" s="25"/>
      <c r="AA78" s="25"/>
      <c r="AB78" s="25"/>
    </row>
    <row r="79" spans="1:28" s="21" customFormat="1" ht="12" thickTop="1">
      <c r="E79" s="28">
        <f>ROUND(F77*G77,0)</f>
        <v>0</v>
      </c>
      <c r="F79" s="28">
        <f>+E79-H77</f>
        <v>0</v>
      </c>
      <c r="G79" s="30"/>
      <c r="H79" s="30"/>
      <c r="I79" s="30"/>
      <c r="J79" s="30"/>
      <c r="K79" s="30"/>
      <c r="L79" s="30"/>
      <c r="N79" s="30"/>
      <c r="O79" s="28">
        <f>+N77-O77</f>
        <v>0</v>
      </c>
      <c r="Q79" s="25"/>
      <c r="R79" s="29"/>
      <c r="S79" s="25"/>
      <c r="T79" s="25"/>
      <c r="U79" s="29"/>
      <c r="V79" s="25"/>
      <c r="W79" s="25"/>
      <c r="X79" s="25"/>
      <c r="Y79" s="25"/>
      <c r="Z79" s="25"/>
      <c r="AA79" s="25"/>
    </row>
    <row r="80" spans="1:28" s="21" customFormat="1">
      <c r="G80" s="36"/>
      <c r="R80" s="25"/>
      <c r="S80" s="29"/>
      <c r="T80" s="25"/>
      <c r="U80" s="25"/>
      <c r="V80" s="29"/>
      <c r="W80" s="25"/>
      <c r="X80" s="25"/>
      <c r="Y80" s="25"/>
      <c r="Z80" s="25"/>
      <c r="AA80" s="25"/>
      <c r="AB80" s="25"/>
    </row>
    <row r="81" spans="1:28" s="21" customFormat="1">
      <c r="A81" s="33"/>
      <c r="B81" s="34"/>
      <c r="C81" s="34"/>
      <c r="D81" s="37"/>
      <c r="E81" s="37"/>
      <c r="F81" s="37"/>
      <c r="G81" s="37"/>
      <c r="R81" s="25"/>
      <c r="S81" s="29"/>
      <c r="T81" s="25"/>
      <c r="U81" s="25"/>
      <c r="V81" s="29"/>
      <c r="W81" s="25"/>
      <c r="X81" s="25"/>
      <c r="Y81" s="25"/>
      <c r="Z81" s="25"/>
      <c r="AA81" s="25"/>
      <c r="AB81" s="25"/>
    </row>
    <row r="82" spans="1:28" s="21" customFormat="1">
      <c r="A82" s="35"/>
      <c r="B82" s="36"/>
      <c r="C82" s="36"/>
      <c r="D82" s="37"/>
      <c r="E82" s="37"/>
      <c r="F82" s="37"/>
      <c r="G82" s="37"/>
      <c r="R82" s="25"/>
      <c r="S82" s="29"/>
      <c r="T82" s="25"/>
      <c r="U82" s="25"/>
      <c r="V82" s="29"/>
      <c r="W82" s="25"/>
      <c r="X82" s="25"/>
      <c r="Y82" s="25"/>
      <c r="Z82" s="25"/>
      <c r="AA82" s="25"/>
      <c r="AB82" s="25"/>
    </row>
    <row r="83" spans="1:28" s="21" customFormat="1">
      <c r="A83" s="35"/>
      <c r="B83" s="36"/>
      <c r="C83" s="36"/>
      <c r="G83" s="37"/>
      <c r="R83" s="25"/>
      <c r="S83" s="29"/>
      <c r="T83" s="25"/>
      <c r="U83" s="25"/>
      <c r="V83" s="29"/>
      <c r="W83" s="25"/>
      <c r="X83" s="25"/>
      <c r="Y83" s="25"/>
      <c r="Z83" s="25"/>
      <c r="AA83" s="25"/>
      <c r="AB83" s="25"/>
    </row>
    <row r="84" spans="1:28" s="21" customFormat="1">
      <c r="A84" s="34"/>
      <c r="B84" s="34"/>
      <c r="C84" s="34"/>
      <c r="G84" s="37"/>
      <c r="R84" s="25"/>
      <c r="S84" s="29"/>
      <c r="T84" s="25"/>
      <c r="U84" s="25"/>
      <c r="V84" s="29"/>
      <c r="W84" s="25"/>
      <c r="X84" s="25"/>
      <c r="Y84" s="25"/>
      <c r="Z84" s="25"/>
      <c r="AA84" s="25"/>
      <c r="AB84" s="25"/>
    </row>
    <row r="85" spans="1:28" s="21" customFormat="1">
      <c r="A85" s="33"/>
      <c r="B85" s="34"/>
      <c r="C85" s="34"/>
      <c r="G85" s="37"/>
      <c r="R85" s="25"/>
      <c r="S85" s="29"/>
      <c r="T85" s="25"/>
      <c r="U85" s="25"/>
      <c r="V85" s="29"/>
      <c r="W85" s="25"/>
      <c r="X85" s="25"/>
      <c r="Y85" s="25"/>
      <c r="Z85" s="25"/>
      <c r="AA85" s="25"/>
      <c r="AB85" s="25"/>
    </row>
    <row r="86" spans="1:28" s="21" customFormat="1">
      <c r="A86" s="35"/>
      <c r="B86" s="37"/>
      <c r="C86" s="37"/>
      <c r="D86" s="34"/>
      <c r="E86" s="34"/>
      <c r="F86" s="34"/>
      <c r="G86" s="34"/>
      <c r="R86" s="25"/>
      <c r="S86" s="29"/>
      <c r="T86" s="25"/>
      <c r="U86" s="25"/>
      <c r="V86" s="29"/>
      <c r="W86" s="25"/>
      <c r="X86" s="25"/>
      <c r="Y86" s="25"/>
      <c r="Z86" s="25"/>
      <c r="AA86" s="25"/>
      <c r="AB86" s="25"/>
    </row>
    <row r="87" spans="1:28" s="21" customFormat="1">
      <c r="A87" s="35"/>
      <c r="B87" s="37"/>
      <c r="C87" s="37"/>
      <c r="D87" s="37"/>
      <c r="E87" s="37"/>
      <c r="F87" s="37"/>
      <c r="G87" s="37"/>
      <c r="R87" s="25"/>
      <c r="S87" s="29"/>
      <c r="T87" s="25"/>
      <c r="U87" s="25"/>
      <c r="V87" s="29"/>
      <c r="W87" s="25"/>
      <c r="X87" s="25"/>
      <c r="Y87" s="25"/>
      <c r="Z87" s="25"/>
      <c r="AA87" s="25"/>
      <c r="AB87" s="25"/>
    </row>
    <row r="88" spans="1:28" s="21" customFormat="1">
      <c r="A88" s="35"/>
      <c r="B88" s="37"/>
      <c r="C88" s="37"/>
      <c r="R88" s="25"/>
      <c r="S88" s="29"/>
      <c r="T88" s="25"/>
      <c r="U88" s="25"/>
      <c r="V88" s="29"/>
      <c r="W88" s="25"/>
      <c r="X88" s="25"/>
      <c r="Y88" s="25"/>
      <c r="Z88" s="25"/>
      <c r="AA88" s="25"/>
      <c r="AB88" s="25"/>
    </row>
    <row r="89" spans="1:28" s="21" customFormat="1">
      <c r="A89" s="39"/>
      <c r="R89" s="25"/>
      <c r="S89" s="29"/>
      <c r="T89" s="25"/>
      <c r="U89" s="25"/>
      <c r="V89" s="29"/>
      <c r="W89" s="25"/>
      <c r="X89" s="25"/>
      <c r="Y89" s="25"/>
      <c r="Z89" s="25"/>
      <c r="AA89" s="25"/>
      <c r="AB89" s="25"/>
    </row>
    <row r="90" spans="1:28" s="21" customFormat="1">
      <c r="A90" s="39"/>
      <c r="R90" s="25"/>
      <c r="S90" s="29"/>
      <c r="T90" s="25"/>
      <c r="U90" s="25"/>
      <c r="V90" s="29"/>
      <c r="W90" s="25"/>
      <c r="X90" s="25"/>
      <c r="Y90" s="25"/>
      <c r="Z90" s="25"/>
      <c r="AA90" s="25"/>
      <c r="AB90" s="25"/>
    </row>
    <row r="91" spans="1:28" s="21" customFormat="1">
      <c r="A91" s="39"/>
      <c r="R91" s="25"/>
      <c r="S91" s="29"/>
      <c r="T91" s="25"/>
      <c r="U91" s="25"/>
      <c r="V91" s="29"/>
      <c r="W91" s="25"/>
      <c r="X91" s="25"/>
      <c r="Y91" s="25"/>
      <c r="Z91" s="25"/>
      <c r="AA91" s="25"/>
      <c r="AB91" s="25"/>
    </row>
    <row r="92" spans="1:28" s="21" customFormat="1">
      <c r="A92" s="39"/>
      <c r="R92" s="25"/>
      <c r="S92" s="29"/>
      <c r="T92" s="25"/>
      <c r="U92" s="25"/>
      <c r="V92" s="29"/>
      <c r="W92" s="25"/>
      <c r="X92" s="25"/>
      <c r="Y92" s="25"/>
      <c r="Z92" s="25"/>
      <c r="AA92" s="25"/>
      <c r="AB92" s="25"/>
    </row>
    <row r="93" spans="1:28" s="21" customFormat="1">
      <c r="A93" s="39"/>
      <c r="R93" s="25"/>
      <c r="S93" s="29"/>
      <c r="T93" s="25"/>
      <c r="U93" s="25"/>
      <c r="V93" s="29"/>
      <c r="W93" s="25"/>
      <c r="X93" s="25"/>
      <c r="Y93" s="25"/>
      <c r="Z93" s="25"/>
      <c r="AA93" s="25"/>
      <c r="AB93" s="25"/>
    </row>
    <row r="94" spans="1:28" s="21" customFormat="1">
      <c r="A94" s="39"/>
      <c r="R94" s="25"/>
      <c r="S94" s="29"/>
      <c r="T94" s="25"/>
      <c r="U94" s="25"/>
      <c r="V94" s="29"/>
      <c r="W94" s="25"/>
      <c r="X94" s="25"/>
      <c r="Y94" s="25"/>
      <c r="Z94" s="25"/>
      <c r="AA94" s="25"/>
      <c r="AB94" s="25"/>
    </row>
    <row r="95" spans="1:28" s="21" customFormat="1">
      <c r="A95" s="40"/>
      <c r="R95" s="25"/>
      <c r="S95" s="29"/>
      <c r="T95" s="25"/>
      <c r="U95" s="25"/>
      <c r="V95" s="29"/>
      <c r="W95" s="25"/>
      <c r="X95" s="25"/>
      <c r="Y95" s="25"/>
      <c r="Z95" s="25"/>
      <c r="AA95" s="25"/>
      <c r="AB95" s="25"/>
    </row>
    <row r="96" spans="1:28" s="21" customFormat="1">
      <c r="A96" s="39"/>
      <c r="R96" s="25"/>
      <c r="S96" s="29"/>
      <c r="T96" s="25"/>
      <c r="U96" s="25"/>
      <c r="V96" s="29"/>
      <c r="W96" s="25"/>
      <c r="X96" s="25"/>
      <c r="Y96" s="25"/>
      <c r="Z96" s="25"/>
      <c r="AA96" s="25"/>
      <c r="AB96" s="25"/>
    </row>
    <row r="97" spans="1:28" s="21" customFormat="1">
      <c r="A97" s="39"/>
      <c r="R97" s="25"/>
      <c r="S97" s="29"/>
      <c r="T97" s="25"/>
      <c r="U97" s="25"/>
      <c r="V97" s="29"/>
      <c r="W97" s="25"/>
      <c r="X97" s="25"/>
      <c r="Y97" s="25"/>
      <c r="Z97" s="25"/>
      <c r="AA97" s="25"/>
      <c r="AB97" s="25"/>
    </row>
    <row r="98" spans="1:28" s="11" customFormat="1">
      <c r="R98" s="19"/>
      <c r="S98" s="16"/>
      <c r="T98" s="19"/>
      <c r="U98" s="19"/>
      <c r="V98" s="16"/>
      <c r="W98" s="19"/>
      <c r="X98" s="19"/>
      <c r="Y98" s="19"/>
      <c r="Z98" s="19"/>
      <c r="AA98" s="19"/>
      <c r="AB98" s="19"/>
    </row>
    <row r="99" spans="1:28" ht="10">
      <c r="R99" s="5"/>
      <c r="S99" s="4"/>
      <c r="T99" s="5"/>
      <c r="U99" s="5"/>
      <c r="V99" s="4"/>
      <c r="W99" s="5"/>
      <c r="X99" s="5"/>
      <c r="Y99" s="5"/>
      <c r="Z99" s="5"/>
      <c r="AA99" s="19"/>
      <c r="AB99" s="5"/>
    </row>
    <row r="100" spans="1:28" ht="10">
      <c r="R100" s="5"/>
      <c r="S100" s="4"/>
      <c r="T100" s="5"/>
      <c r="U100" s="5"/>
      <c r="V100" s="4"/>
      <c r="W100" s="5"/>
      <c r="X100" s="5"/>
      <c r="Y100" s="5"/>
      <c r="Z100" s="5"/>
      <c r="AA100" s="19"/>
      <c r="AB100" s="5"/>
    </row>
    <row r="101" spans="1:28" ht="10">
      <c r="R101" s="5"/>
      <c r="S101" s="4"/>
      <c r="T101" s="5"/>
      <c r="U101" s="5"/>
      <c r="V101" s="4"/>
      <c r="W101" s="5"/>
      <c r="X101" s="5"/>
      <c r="Y101" s="5"/>
      <c r="Z101" s="5"/>
      <c r="AA101" s="19"/>
      <c r="AB101" s="5"/>
    </row>
    <row r="102" spans="1:28" ht="10">
      <c r="R102" s="5"/>
      <c r="S102" s="4"/>
      <c r="T102" s="5"/>
      <c r="U102" s="5"/>
      <c r="V102" s="4"/>
      <c r="W102" s="5"/>
      <c r="X102" s="5"/>
      <c r="Y102" s="5"/>
      <c r="Z102" s="5"/>
      <c r="AA102" s="19"/>
      <c r="AB102" s="5"/>
    </row>
    <row r="103" spans="1:28" ht="10">
      <c r="R103" s="5"/>
      <c r="S103" s="4"/>
      <c r="T103" s="5"/>
      <c r="U103" s="5"/>
      <c r="V103" s="4"/>
      <c r="W103" s="5"/>
      <c r="X103" s="5"/>
      <c r="Y103" s="5"/>
      <c r="Z103" s="5"/>
      <c r="AA103" s="19"/>
      <c r="AB103" s="5"/>
    </row>
    <row r="104" spans="1:28" ht="10">
      <c r="R104" s="5"/>
      <c r="S104" s="4"/>
      <c r="T104" s="5"/>
      <c r="U104" s="5"/>
      <c r="V104" s="4"/>
      <c r="W104" s="5"/>
      <c r="X104" s="5"/>
      <c r="Y104" s="5"/>
      <c r="Z104" s="5"/>
      <c r="AA104" s="19"/>
      <c r="AB104" s="5"/>
    </row>
    <row r="105" spans="1:28" ht="10">
      <c r="R105" s="5"/>
      <c r="S105" s="4"/>
      <c r="T105" s="5"/>
      <c r="U105" s="5"/>
      <c r="V105" s="4"/>
      <c r="W105" s="5"/>
      <c r="X105" s="5"/>
      <c r="Y105" s="5"/>
      <c r="Z105" s="5"/>
      <c r="AA105" s="19"/>
      <c r="AB105" s="5"/>
    </row>
    <row r="106" spans="1:28" ht="10">
      <c r="R106" s="5"/>
      <c r="S106" s="4"/>
      <c r="T106" s="5"/>
      <c r="U106" s="5"/>
      <c r="V106" s="4"/>
      <c r="W106" s="5"/>
      <c r="X106" s="5"/>
      <c r="Y106" s="5"/>
      <c r="Z106" s="5"/>
      <c r="AA106" s="19"/>
      <c r="AB106" s="5"/>
    </row>
    <row r="107" spans="1:28" ht="10">
      <c r="R107" s="5"/>
      <c r="S107" s="4"/>
      <c r="T107" s="5"/>
      <c r="U107" s="5"/>
      <c r="V107" s="4"/>
      <c r="W107" s="5"/>
      <c r="X107" s="5"/>
      <c r="Y107" s="5"/>
      <c r="Z107" s="5"/>
      <c r="AA107" s="19"/>
      <c r="AB107" s="5"/>
    </row>
    <row r="108" spans="1:28" ht="10">
      <c r="R108" s="5"/>
      <c r="S108" s="4"/>
      <c r="T108" s="5"/>
      <c r="U108" s="5"/>
      <c r="V108" s="4"/>
      <c r="W108" s="5"/>
      <c r="X108" s="5"/>
      <c r="Y108" s="5"/>
      <c r="Z108" s="5"/>
      <c r="AA108" s="19"/>
      <c r="AB108" s="5"/>
    </row>
    <row r="109" spans="1:28" ht="10">
      <c r="R109" s="5"/>
      <c r="S109" s="4"/>
      <c r="T109" s="5"/>
      <c r="U109" s="5"/>
      <c r="V109" s="4"/>
      <c r="W109" s="5"/>
      <c r="X109" s="5"/>
      <c r="Y109" s="5"/>
      <c r="Z109" s="5"/>
      <c r="AA109" s="19"/>
      <c r="AB109" s="5"/>
    </row>
    <row r="110" spans="1:28" ht="10">
      <c r="R110" s="5"/>
      <c r="S110" s="4"/>
      <c r="T110" s="5"/>
      <c r="U110" s="5"/>
      <c r="V110" s="4"/>
      <c r="W110" s="5"/>
      <c r="X110" s="5"/>
      <c r="Y110" s="5"/>
      <c r="Z110" s="5"/>
      <c r="AA110" s="19"/>
      <c r="AB110" s="5"/>
    </row>
    <row r="111" spans="1:28" ht="10">
      <c r="R111" s="5"/>
      <c r="S111" s="4"/>
      <c r="T111" s="5"/>
      <c r="U111" s="5"/>
      <c r="V111" s="4"/>
      <c r="W111" s="5"/>
      <c r="X111" s="5"/>
      <c r="Y111" s="5"/>
      <c r="Z111" s="5"/>
      <c r="AA111" s="19"/>
      <c r="AB111" s="5"/>
    </row>
    <row r="112" spans="1:28" ht="10">
      <c r="R112" s="5"/>
      <c r="S112" s="4"/>
      <c r="T112" s="5"/>
      <c r="U112" s="5"/>
      <c r="V112" s="4"/>
      <c r="W112" s="5"/>
      <c r="X112" s="5"/>
      <c r="Y112" s="5"/>
      <c r="Z112" s="5"/>
      <c r="AA112" s="19"/>
      <c r="AB112" s="5"/>
    </row>
    <row r="113" spans="18:28" ht="10">
      <c r="R113" s="5"/>
      <c r="S113" s="4"/>
      <c r="T113" s="5"/>
      <c r="U113" s="5"/>
      <c r="V113" s="4"/>
      <c r="W113" s="5"/>
      <c r="X113" s="5"/>
      <c r="Y113" s="5"/>
      <c r="Z113" s="5"/>
      <c r="AA113" s="19"/>
      <c r="AB113" s="5"/>
    </row>
    <row r="114" spans="18:28" ht="10">
      <c r="R114" s="5"/>
      <c r="S114" s="4"/>
      <c r="T114" s="5"/>
      <c r="U114" s="5"/>
      <c r="V114" s="4"/>
      <c r="W114" s="5"/>
      <c r="X114" s="5"/>
      <c r="Y114" s="5"/>
      <c r="Z114" s="5"/>
      <c r="AA114" s="19"/>
      <c r="AB114" s="5"/>
    </row>
    <row r="115" spans="18:28" ht="10">
      <c r="R115" s="5"/>
      <c r="S115" s="4"/>
      <c r="T115" s="5"/>
      <c r="U115" s="5"/>
      <c r="V115" s="4"/>
      <c r="W115" s="5"/>
      <c r="X115" s="5"/>
      <c r="Y115" s="5"/>
      <c r="Z115" s="5"/>
      <c r="AA115" s="19"/>
      <c r="AB115" s="5"/>
    </row>
    <row r="116" spans="18:28" ht="10">
      <c r="R116" s="5"/>
      <c r="S116" s="4"/>
      <c r="T116" s="5"/>
      <c r="U116" s="5"/>
      <c r="V116" s="4"/>
      <c r="W116" s="5"/>
      <c r="X116" s="5"/>
      <c r="Y116" s="5"/>
      <c r="Z116" s="5"/>
      <c r="AA116" s="19"/>
      <c r="AB116" s="5"/>
    </row>
    <row r="117" spans="18:28" ht="10">
      <c r="R117" s="5"/>
      <c r="S117" s="4"/>
      <c r="T117" s="5"/>
      <c r="U117" s="5"/>
      <c r="V117" s="4"/>
      <c r="W117" s="5"/>
      <c r="X117" s="5"/>
      <c r="Y117" s="5"/>
      <c r="Z117" s="5"/>
      <c r="AA117" s="19"/>
      <c r="AB117" s="5"/>
    </row>
    <row r="118" spans="18:28" ht="10">
      <c r="R118" s="5"/>
      <c r="S118" s="4"/>
      <c r="T118" s="5"/>
      <c r="U118" s="5"/>
      <c r="V118" s="4"/>
      <c r="W118" s="5"/>
      <c r="X118" s="5"/>
      <c r="Y118" s="5"/>
      <c r="Z118" s="5"/>
      <c r="AA118" s="19"/>
      <c r="AB118" s="5"/>
    </row>
    <row r="119" spans="18:28" ht="10">
      <c r="R119" s="5"/>
      <c r="S119" s="4"/>
      <c r="T119" s="5"/>
      <c r="U119" s="5"/>
      <c r="V119" s="4"/>
      <c r="W119" s="5"/>
      <c r="X119" s="5"/>
      <c r="Y119" s="5"/>
      <c r="Z119" s="5"/>
      <c r="AA119" s="19"/>
      <c r="AB119" s="5"/>
    </row>
    <row r="120" spans="18:28" ht="10">
      <c r="R120" s="5"/>
      <c r="S120" s="4"/>
      <c r="T120" s="5"/>
      <c r="U120" s="5"/>
      <c r="V120" s="4"/>
      <c r="W120" s="5"/>
      <c r="X120" s="5"/>
      <c r="Y120" s="5"/>
      <c r="Z120" s="5"/>
      <c r="AA120" s="19"/>
      <c r="AB120" s="5"/>
    </row>
    <row r="121" spans="18:28" ht="10">
      <c r="R121" s="5"/>
      <c r="S121" s="4"/>
      <c r="T121" s="5"/>
      <c r="U121" s="5"/>
      <c r="V121" s="4"/>
      <c r="W121" s="5"/>
      <c r="X121" s="5"/>
      <c r="Y121" s="5"/>
      <c r="Z121" s="5"/>
      <c r="AA121" s="19"/>
      <c r="AB121" s="5"/>
    </row>
    <row r="122" spans="18:28" ht="10">
      <c r="R122" s="5"/>
      <c r="S122" s="4"/>
      <c r="T122" s="5"/>
      <c r="U122" s="5"/>
      <c r="V122" s="4"/>
      <c r="W122" s="5"/>
      <c r="X122" s="5"/>
      <c r="Y122" s="5"/>
      <c r="Z122" s="5"/>
      <c r="AA122" s="19"/>
      <c r="AB122" s="5"/>
    </row>
    <row r="123" spans="18:28" ht="10">
      <c r="R123" s="5"/>
      <c r="S123" s="4"/>
      <c r="T123" s="5"/>
      <c r="U123" s="5"/>
      <c r="V123" s="4"/>
      <c r="W123" s="5"/>
      <c r="X123" s="5"/>
      <c r="Y123" s="5"/>
      <c r="Z123" s="5"/>
      <c r="AA123" s="19"/>
      <c r="AB123" s="5"/>
    </row>
    <row r="124" spans="18:28" ht="10">
      <c r="R124" s="5"/>
      <c r="S124" s="4"/>
      <c r="T124" s="5"/>
      <c r="U124" s="5"/>
      <c r="V124" s="4"/>
      <c r="W124" s="5"/>
      <c r="X124" s="5"/>
      <c r="Y124" s="5"/>
      <c r="Z124" s="5"/>
      <c r="AA124" s="19"/>
      <c r="AB124" s="5"/>
    </row>
    <row r="125" spans="18:28" ht="10">
      <c r="R125" s="5"/>
      <c r="S125" s="4"/>
      <c r="T125" s="5"/>
      <c r="U125" s="5"/>
      <c r="V125" s="4"/>
      <c r="W125" s="5"/>
      <c r="X125" s="5"/>
      <c r="Y125" s="5"/>
      <c r="Z125" s="5"/>
      <c r="AA125" s="19"/>
      <c r="AB125" s="5"/>
    </row>
    <row r="126" spans="18:28" ht="10">
      <c r="R126" s="5"/>
      <c r="S126" s="4"/>
      <c r="T126" s="5"/>
      <c r="U126" s="5"/>
      <c r="V126" s="4"/>
      <c r="W126" s="5"/>
      <c r="X126" s="5"/>
      <c r="Y126" s="5"/>
      <c r="Z126" s="5"/>
      <c r="AA126" s="19"/>
      <c r="AB126" s="5"/>
    </row>
    <row r="127" spans="18:28" ht="10">
      <c r="R127" s="5"/>
      <c r="S127" s="4"/>
      <c r="T127" s="5"/>
      <c r="U127" s="5"/>
      <c r="V127" s="4"/>
      <c r="W127" s="5"/>
      <c r="X127" s="5"/>
      <c r="Y127" s="5"/>
      <c r="Z127" s="5"/>
      <c r="AA127" s="19"/>
      <c r="AB127" s="5"/>
    </row>
    <row r="128" spans="18:28" ht="10">
      <c r="R128" s="5"/>
      <c r="S128" s="4"/>
      <c r="T128" s="5"/>
      <c r="U128" s="5"/>
      <c r="V128" s="4"/>
      <c r="W128" s="5"/>
      <c r="X128" s="5"/>
      <c r="Y128" s="5"/>
      <c r="Z128" s="5"/>
      <c r="AA128" s="19"/>
      <c r="AB128" s="5"/>
    </row>
    <row r="129" spans="18:28" ht="10">
      <c r="R129" s="5"/>
      <c r="S129" s="4"/>
      <c r="T129" s="5"/>
      <c r="U129" s="5"/>
      <c r="V129" s="4"/>
      <c r="W129" s="5"/>
      <c r="X129" s="5"/>
      <c r="Y129" s="5"/>
      <c r="Z129" s="5"/>
      <c r="AA129" s="19"/>
      <c r="AB129" s="5"/>
    </row>
    <row r="130" spans="18:28" ht="10">
      <c r="R130" s="5"/>
      <c r="S130" s="4"/>
      <c r="T130" s="5"/>
      <c r="U130" s="5"/>
      <c r="V130" s="4"/>
      <c r="W130" s="5"/>
      <c r="X130" s="5"/>
      <c r="Y130" s="5"/>
      <c r="Z130" s="5"/>
      <c r="AA130" s="19"/>
      <c r="AB130" s="5"/>
    </row>
    <row r="131" spans="18:28" ht="10">
      <c r="R131" s="5"/>
      <c r="S131" s="4"/>
      <c r="T131" s="5"/>
      <c r="U131" s="5"/>
      <c r="V131" s="4"/>
      <c r="W131" s="5"/>
      <c r="X131" s="5"/>
      <c r="Y131" s="5"/>
      <c r="Z131" s="5"/>
      <c r="AA131" s="19"/>
      <c r="AB131" s="5"/>
    </row>
    <row r="132" spans="18:28" ht="10">
      <c r="R132" s="5"/>
      <c r="S132" s="4"/>
      <c r="T132" s="5"/>
      <c r="U132" s="5"/>
      <c r="V132" s="4"/>
      <c r="W132" s="5"/>
      <c r="X132" s="5"/>
      <c r="Y132" s="5"/>
      <c r="Z132" s="5"/>
      <c r="AA132" s="19"/>
      <c r="AB132" s="5"/>
    </row>
    <row r="133" spans="18:28" ht="10">
      <c r="R133" s="5"/>
      <c r="S133" s="4"/>
      <c r="T133" s="5"/>
      <c r="U133" s="5"/>
      <c r="V133" s="4"/>
      <c r="W133" s="5"/>
      <c r="X133" s="5"/>
      <c r="Y133" s="5"/>
      <c r="Z133" s="5"/>
      <c r="AA133" s="19"/>
      <c r="AB133" s="5"/>
    </row>
    <row r="134" spans="18:28" ht="10">
      <c r="R134" s="5"/>
      <c r="S134" s="4"/>
      <c r="T134" s="5"/>
      <c r="U134" s="5"/>
      <c r="V134" s="4"/>
      <c r="W134" s="5"/>
      <c r="X134" s="5"/>
      <c r="Y134" s="5"/>
      <c r="Z134" s="5"/>
      <c r="AA134" s="19"/>
      <c r="AB134" s="5"/>
    </row>
    <row r="135" spans="18:28" ht="10">
      <c r="R135" s="5"/>
      <c r="S135" s="4"/>
      <c r="T135" s="5"/>
      <c r="U135" s="5"/>
      <c r="V135" s="4"/>
      <c r="W135" s="5"/>
      <c r="X135" s="5"/>
      <c r="Y135" s="5"/>
      <c r="Z135" s="5"/>
      <c r="AA135" s="19"/>
      <c r="AB135" s="5"/>
    </row>
    <row r="136" spans="18:28" ht="10">
      <c r="R136" s="5"/>
      <c r="S136" s="4"/>
      <c r="T136" s="5"/>
      <c r="U136" s="5"/>
      <c r="V136" s="4"/>
      <c r="W136" s="5"/>
      <c r="X136" s="5"/>
      <c r="Y136" s="5"/>
      <c r="Z136" s="5"/>
      <c r="AA136" s="19"/>
      <c r="AB136" s="5"/>
    </row>
    <row r="137" spans="18:28" ht="10">
      <c r="R137" s="5"/>
      <c r="S137" s="4"/>
      <c r="T137" s="5"/>
      <c r="U137" s="5"/>
      <c r="V137" s="4"/>
      <c r="W137" s="5"/>
      <c r="X137" s="5"/>
      <c r="Y137" s="5"/>
      <c r="Z137" s="5"/>
      <c r="AA137" s="19"/>
      <c r="AB137" s="5"/>
    </row>
    <row r="138" spans="18:28" ht="10">
      <c r="R138" s="5"/>
      <c r="S138" s="4"/>
      <c r="T138" s="5"/>
      <c r="U138" s="5"/>
      <c r="V138" s="4"/>
      <c r="W138" s="5"/>
      <c r="X138" s="5"/>
      <c r="Y138" s="5"/>
      <c r="Z138" s="5"/>
      <c r="AA138" s="19"/>
      <c r="AB138" s="5"/>
    </row>
    <row r="139" spans="18:28" ht="10">
      <c r="R139" s="5"/>
      <c r="S139" s="4"/>
      <c r="T139" s="5"/>
      <c r="U139" s="5"/>
      <c r="V139" s="4"/>
      <c r="W139" s="5"/>
      <c r="X139" s="5"/>
      <c r="Y139" s="5"/>
      <c r="Z139" s="5"/>
      <c r="AA139" s="19"/>
      <c r="AB139" s="5"/>
    </row>
    <row r="140" spans="18:28" ht="10">
      <c r="R140" s="5"/>
      <c r="S140" s="4"/>
      <c r="T140" s="5"/>
      <c r="U140" s="5"/>
      <c r="V140" s="4"/>
      <c r="W140" s="5"/>
      <c r="X140" s="5"/>
      <c r="Y140" s="5"/>
      <c r="Z140" s="5"/>
      <c r="AA140" s="19"/>
      <c r="AB140" s="5"/>
    </row>
    <row r="141" spans="18:28" ht="10">
      <c r="R141" s="5"/>
      <c r="S141" s="4"/>
      <c r="T141" s="5"/>
      <c r="U141" s="5"/>
      <c r="V141" s="4"/>
      <c r="W141" s="5"/>
      <c r="X141" s="5"/>
      <c r="Y141" s="5"/>
      <c r="Z141" s="5"/>
      <c r="AA141" s="19"/>
      <c r="AB141" s="5"/>
    </row>
    <row r="142" spans="18:28" ht="10">
      <c r="R142" s="5"/>
      <c r="S142" s="4"/>
      <c r="T142" s="5"/>
      <c r="U142" s="5"/>
      <c r="V142" s="4"/>
      <c r="W142" s="5"/>
      <c r="X142" s="5"/>
      <c r="Y142" s="5"/>
      <c r="Z142" s="5"/>
      <c r="AA142" s="19"/>
      <c r="AB142" s="5"/>
    </row>
    <row r="143" spans="18:28" ht="10">
      <c r="R143" s="5"/>
      <c r="S143" s="4"/>
      <c r="T143" s="5"/>
      <c r="U143" s="5"/>
      <c r="V143" s="4"/>
      <c r="W143" s="5"/>
      <c r="X143" s="5"/>
      <c r="Y143" s="5"/>
      <c r="Z143" s="5"/>
      <c r="AA143" s="19"/>
      <c r="AB143" s="5"/>
    </row>
    <row r="144" spans="18:28" ht="10">
      <c r="R144" s="5"/>
      <c r="S144" s="4"/>
      <c r="T144" s="5"/>
      <c r="U144" s="5"/>
      <c r="V144" s="4"/>
      <c r="W144" s="5"/>
      <c r="X144" s="5"/>
      <c r="Y144" s="5"/>
      <c r="Z144" s="5"/>
      <c r="AA144" s="19"/>
      <c r="AB144" s="5"/>
    </row>
    <row r="145" spans="18:28" ht="10">
      <c r="R145" s="5"/>
      <c r="S145" s="4"/>
      <c r="T145" s="5"/>
      <c r="U145" s="5"/>
      <c r="V145" s="4"/>
      <c r="W145" s="5"/>
      <c r="X145" s="5"/>
      <c r="Y145" s="5"/>
      <c r="Z145" s="5"/>
      <c r="AA145" s="19"/>
      <c r="AB145" s="5"/>
    </row>
    <row r="146" spans="18:28" ht="10">
      <c r="R146" s="5"/>
      <c r="S146" s="4"/>
      <c r="T146" s="5"/>
      <c r="U146" s="5"/>
      <c r="V146" s="4"/>
      <c r="W146" s="5"/>
      <c r="X146" s="5"/>
      <c r="Y146" s="5"/>
      <c r="Z146" s="5"/>
      <c r="AA146" s="19"/>
      <c r="AB146" s="5"/>
    </row>
    <row r="147" spans="18:28" ht="10">
      <c r="R147" s="5"/>
      <c r="S147" s="4"/>
      <c r="T147" s="5"/>
      <c r="U147" s="5"/>
      <c r="V147" s="4"/>
      <c r="W147" s="5"/>
      <c r="X147" s="5"/>
      <c r="Y147" s="5"/>
      <c r="Z147" s="5"/>
      <c r="AA147" s="19"/>
      <c r="AB147" s="5"/>
    </row>
    <row r="148" spans="18:28" ht="10">
      <c r="R148" s="5"/>
      <c r="S148" s="4"/>
      <c r="T148" s="5"/>
      <c r="U148" s="5"/>
      <c r="V148" s="4"/>
      <c r="W148" s="5"/>
      <c r="X148" s="5"/>
      <c r="Y148" s="5"/>
      <c r="Z148" s="5"/>
      <c r="AA148" s="19"/>
      <c r="AB148" s="5"/>
    </row>
    <row r="149" spans="18:28" ht="10">
      <c r="R149" s="5"/>
      <c r="S149" s="4"/>
      <c r="T149" s="5"/>
      <c r="U149" s="5"/>
      <c r="V149" s="4"/>
      <c r="W149" s="5"/>
      <c r="X149" s="5"/>
      <c r="Y149" s="5"/>
      <c r="Z149" s="5"/>
      <c r="AA149" s="19"/>
      <c r="AB149" s="5"/>
    </row>
    <row r="150" spans="18:28" ht="10">
      <c r="R150" s="5"/>
      <c r="S150" s="4"/>
      <c r="T150" s="5"/>
      <c r="U150" s="5"/>
      <c r="V150" s="4"/>
      <c r="W150" s="5"/>
      <c r="X150" s="5"/>
      <c r="Y150" s="5"/>
      <c r="Z150" s="5"/>
      <c r="AA150" s="19"/>
      <c r="AB150" s="5"/>
    </row>
    <row r="151" spans="18:28" ht="10">
      <c r="R151" s="5"/>
      <c r="S151" s="4"/>
      <c r="T151" s="5"/>
      <c r="U151" s="5"/>
      <c r="V151" s="4"/>
      <c r="W151" s="5"/>
      <c r="X151" s="5"/>
      <c r="Y151" s="5"/>
      <c r="Z151" s="5"/>
      <c r="AA151" s="19"/>
      <c r="AB151" s="5"/>
    </row>
    <row r="152" spans="18:28" ht="10">
      <c r="R152" s="5"/>
      <c r="S152" s="4"/>
      <c r="T152" s="5"/>
      <c r="U152" s="5"/>
      <c r="V152" s="4"/>
      <c r="W152" s="5"/>
      <c r="X152" s="5"/>
      <c r="Y152" s="5"/>
      <c r="Z152" s="5"/>
      <c r="AA152" s="19"/>
      <c r="AB152" s="5"/>
    </row>
    <row r="153" spans="18:28" ht="10">
      <c r="R153" s="5"/>
      <c r="S153" s="4"/>
      <c r="T153" s="5"/>
      <c r="U153" s="5"/>
      <c r="V153" s="4"/>
      <c r="W153" s="5"/>
      <c r="X153" s="5"/>
      <c r="Y153" s="5"/>
      <c r="Z153" s="5"/>
      <c r="AA153" s="19"/>
      <c r="AB153" s="5"/>
    </row>
    <row r="154" spans="18:28" ht="10">
      <c r="R154" s="5"/>
      <c r="S154" s="4"/>
      <c r="T154" s="5"/>
      <c r="U154" s="5"/>
      <c r="V154" s="4"/>
      <c r="W154" s="5"/>
      <c r="X154" s="5"/>
      <c r="Y154" s="5"/>
      <c r="Z154" s="5"/>
      <c r="AA154" s="19"/>
      <c r="AB154" s="5"/>
    </row>
    <row r="155" spans="18:28" ht="10">
      <c r="R155" s="5"/>
      <c r="S155" s="4"/>
      <c r="T155" s="5"/>
      <c r="U155" s="5"/>
      <c r="V155" s="4"/>
      <c r="W155" s="5"/>
      <c r="X155" s="5"/>
      <c r="Y155" s="5"/>
      <c r="Z155" s="5"/>
      <c r="AA155" s="19"/>
      <c r="AB155" s="5"/>
    </row>
    <row r="156" spans="18:28" ht="10">
      <c r="R156" s="5"/>
      <c r="S156" s="4"/>
      <c r="T156" s="5"/>
      <c r="U156" s="5"/>
      <c r="V156" s="4"/>
      <c r="W156" s="5"/>
      <c r="X156" s="5"/>
      <c r="Y156" s="5"/>
      <c r="Z156" s="5"/>
      <c r="AA156" s="19"/>
      <c r="AB156" s="5"/>
    </row>
    <row r="157" spans="18:28" ht="10">
      <c r="R157" s="5"/>
      <c r="S157" s="4"/>
      <c r="T157" s="5"/>
      <c r="U157" s="5"/>
      <c r="V157" s="4"/>
      <c r="W157" s="5"/>
      <c r="X157" s="5"/>
      <c r="Y157" s="5"/>
      <c r="Z157" s="5"/>
      <c r="AA157" s="19"/>
      <c r="AB157" s="5"/>
    </row>
    <row r="158" spans="18:28" ht="10">
      <c r="R158" s="5"/>
      <c r="S158" s="4"/>
      <c r="T158" s="5"/>
      <c r="U158" s="5"/>
      <c r="V158" s="4"/>
      <c r="W158" s="5"/>
      <c r="X158" s="5"/>
      <c r="Y158" s="5"/>
      <c r="Z158" s="5"/>
      <c r="AA158" s="19"/>
      <c r="AB158" s="5"/>
    </row>
    <row r="159" spans="18:28" ht="10">
      <c r="R159" s="5"/>
      <c r="S159" s="4"/>
      <c r="T159" s="5"/>
      <c r="U159" s="5"/>
      <c r="V159" s="4"/>
      <c r="W159" s="5"/>
      <c r="X159" s="5"/>
      <c r="Y159" s="5"/>
      <c r="Z159" s="5"/>
      <c r="AA159" s="19"/>
      <c r="AB159" s="5"/>
    </row>
    <row r="160" spans="18:28" ht="10">
      <c r="R160" s="5"/>
      <c r="S160" s="4"/>
      <c r="T160" s="5"/>
      <c r="U160" s="5"/>
      <c r="V160" s="4"/>
      <c r="W160" s="5"/>
      <c r="X160" s="5"/>
      <c r="Y160" s="5"/>
      <c r="Z160" s="5"/>
      <c r="AA160" s="19"/>
      <c r="AB160" s="5"/>
    </row>
    <row r="161" spans="18:28" ht="10">
      <c r="R161" s="5"/>
      <c r="S161" s="4"/>
      <c r="T161" s="5"/>
      <c r="U161" s="5"/>
      <c r="V161" s="4"/>
      <c r="W161" s="5"/>
      <c r="X161" s="5"/>
      <c r="Y161" s="5"/>
      <c r="Z161" s="5"/>
      <c r="AA161" s="19"/>
      <c r="AB161" s="5"/>
    </row>
    <row r="162" spans="18:28" ht="10">
      <c r="R162" s="5"/>
      <c r="S162" s="4"/>
      <c r="T162" s="5"/>
      <c r="U162" s="5"/>
      <c r="V162" s="4"/>
      <c r="W162" s="5"/>
      <c r="X162" s="5"/>
      <c r="Y162" s="5"/>
      <c r="Z162" s="5"/>
      <c r="AA162" s="19"/>
      <c r="AB162" s="5"/>
    </row>
    <row r="163" spans="18:28" ht="10">
      <c r="R163" s="5"/>
      <c r="S163" s="4"/>
      <c r="T163" s="5"/>
      <c r="U163" s="5"/>
      <c r="V163" s="4"/>
      <c r="W163" s="5"/>
      <c r="X163" s="5"/>
      <c r="Y163" s="5"/>
      <c r="Z163" s="5"/>
      <c r="AA163" s="19"/>
      <c r="AB163" s="5"/>
    </row>
    <row r="164" spans="18:28" ht="10">
      <c r="R164" s="5"/>
      <c r="S164" s="4"/>
      <c r="T164" s="5"/>
      <c r="U164" s="5"/>
      <c r="V164" s="4"/>
      <c r="W164" s="5"/>
      <c r="X164" s="5"/>
      <c r="Y164" s="5"/>
      <c r="Z164" s="5"/>
      <c r="AA164" s="19"/>
      <c r="AB164" s="5"/>
    </row>
    <row r="165" spans="18:28" ht="10">
      <c r="R165" s="5"/>
      <c r="S165" s="4"/>
      <c r="T165" s="5"/>
      <c r="U165" s="5"/>
      <c r="V165" s="4"/>
      <c r="W165" s="5"/>
      <c r="X165" s="5"/>
      <c r="Y165" s="5"/>
      <c r="Z165" s="5"/>
      <c r="AA165" s="19"/>
      <c r="AB165" s="5"/>
    </row>
    <row r="166" spans="18:28" ht="10">
      <c r="R166" s="5"/>
      <c r="S166" s="4"/>
      <c r="T166" s="5"/>
      <c r="U166" s="5"/>
      <c r="V166" s="4"/>
      <c r="W166" s="5"/>
      <c r="X166" s="5"/>
      <c r="Y166" s="5"/>
      <c r="Z166" s="5"/>
      <c r="AA166" s="19"/>
      <c r="AB166" s="5"/>
    </row>
    <row r="167" spans="18:28" ht="10">
      <c r="R167" s="5"/>
      <c r="S167" s="4"/>
      <c r="T167" s="5"/>
      <c r="U167" s="5"/>
      <c r="V167" s="4"/>
      <c r="W167" s="5"/>
      <c r="X167" s="5"/>
      <c r="Y167" s="5"/>
      <c r="Z167" s="5"/>
      <c r="AA167" s="19"/>
      <c r="AB167" s="5"/>
    </row>
    <row r="168" spans="18:28" ht="10">
      <c r="R168" s="5"/>
      <c r="S168" s="4"/>
      <c r="T168" s="5"/>
      <c r="U168" s="5"/>
      <c r="V168" s="4"/>
      <c r="W168" s="5"/>
      <c r="X168" s="5"/>
      <c r="Y168" s="5"/>
      <c r="Z168" s="5"/>
      <c r="AA168" s="19"/>
      <c r="AB168" s="5"/>
    </row>
    <row r="169" spans="18:28" ht="10">
      <c r="R169" s="5"/>
      <c r="S169" s="4"/>
      <c r="T169" s="5"/>
      <c r="U169" s="5"/>
      <c r="V169" s="4"/>
      <c r="W169" s="5"/>
      <c r="X169" s="5"/>
      <c r="Y169" s="5"/>
      <c r="Z169" s="5"/>
      <c r="AA169" s="19"/>
      <c r="AB169" s="5"/>
    </row>
    <row r="170" spans="18:28" ht="10">
      <c r="R170" s="5"/>
      <c r="S170" s="4"/>
      <c r="T170" s="5"/>
      <c r="U170" s="5"/>
      <c r="V170" s="4"/>
      <c r="W170" s="5"/>
      <c r="X170" s="5"/>
      <c r="Y170" s="5"/>
      <c r="Z170" s="5"/>
      <c r="AA170" s="19"/>
      <c r="AB170" s="5"/>
    </row>
    <row r="171" spans="18:28" ht="10">
      <c r="R171" s="5"/>
      <c r="S171" s="4"/>
      <c r="T171" s="5"/>
      <c r="U171" s="5"/>
      <c r="V171" s="4"/>
      <c r="W171" s="5"/>
      <c r="X171" s="5"/>
      <c r="Y171" s="5"/>
      <c r="Z171" s="5"/>
      <c r="AA171" s="19"/>
      <c r="AB171" s="5"/>
    </row>
    <row r="172" spans="18:28" ht="10">
      <c r="R172" s="5"/>
      <c r="S172" s="4"/>
      <c r="T172" s="5"/>
      <c r="U172" s="5"/>
      <c r="V172" s="4"/>
      <c r="W172" s="5"/>
      <c r="X172" s="5"/>
      <c r="Y172" s="5"/>
      <c r="Z172" s="5"/>
      <c r="AA172" s="19"/>
      <c r="AB172" s="5"/>
    </row>
    <row r="173" spans="18:28" ht="10">
      <c r="R173" s="5"/>
      <c r="S173" s="4"/>
      <c r="T173" s="5"/>
      <c r="U173" s="5"/>
      <c r="V173" s="4"/>
      <c r="W173" s="5"/>
      <c r="X173" s="5"/>
      <c r="Y173" s="5"/>
      <c r="Z173" s="5"/>
      <c r="AA173" s="19"/>
      <c r="AB173" s="5"/>
    </row>
    <row r="174" spans="18:28" ht="10">
      <c r="R174" s="5"/>
      <c r="S174" s="4"/>
      <c r="T174" s="5"/>
      <c r="U174" s="5"/>
      <c r="V174" s="4"/>
      <c r="W174" s="5"/>
      <c r="X174" s="5"/>
      <c r="Y174" s="5"/>
      <c r="Z174" s="5"/>
      <c r="AA174" s="19"/>
      <c r="AB174" s="5"/>
    </row>
    <row r="175" spans="18:28" ht="10">
      <c r="R175" s="5"/>
      <c r="S175" s="4"/>
      <c r="T175" s="5"/>
      <c r="U175" s="5"/>
      <c r="V175" s="4"/>
      <c r="W175" s="5"/>
      <c r="X175" s="5"/>
      <c r="Y175" s="5"/>
      <c r="Z175" s="5"/>
      <c r="AA175" s="19"/>
      <c r="AB175" s="5"/>
    </row>
    <row r="176" spans="18:28" ht="10">
      <c r="R176" s="5"/>
      <c r="S176" s="4"/>
      <c r="T176" s="5"/>
      <c r="U176" s="5"/>
      <c r="V176" s="4"/>
      <c r="W176" s="5"/>
      <c r="X176" s="5"/>
      <c r="Y176" s="5"/>
      <c r="Z176" s="5"/>
      <c r="AA176" s="19"/>
      <c r="AB176" s="5"/>
    </row>
    <row r="177" spans="18:28" ht="10">
      <c r="R177" s="5"/>
      <c r="S177" s="4"/>
      <c r="T177" s="5"/>
      <c r="U177" s="5"/>
      <c r="V177" s="4"/>
      <c r="W177" s="5"/>
      <c r="X177" s="5"/>
      <c r="Y177" s="5"/>
      <c r="Z177" s="5"/>
      <c r="AA177" s="19"/>
      <c r="AB177" s="5"/>
    </row>
    <row r="178" spans="18:28" ht="10">
      <c r="R178" s="5"/>
      <c r="S178" s="4"/>
      <c r="T178" s="5"/>
      <c r="U178" s="5"/>
      <c r="V178" s="4"/>
      <c r="W178" s="5"/>
      <c r="X178" s="5"/>
      <c r="Y178" s="5"/>
      <c r="Z178" s="5"/>
      <c r="AA178" s="19"/>
      <c r="AB178" s="5"/>
    </row>
    <row r="179" spans="18:28" ht="10">
      <c r="R179" s="5"/>
      <c r="S179" s="4"/>
      <c r="T179" s="5"/>
      <c r="U179" s="5"/>
      <c r="V179" s="4"/>
      <c r="W179" s="5"/>
      <c r="X179" s="5"/>
      <c r="Y179" s="5"/>
      <c r="Z179" s="5"/>
      <c r="AA179" s="19"/>
      <c r="AB179" s="5"/>
    </row>
    <row r="180" spans="18:28" ht="10">
      <c r="R180" s="5"/>
      <c r="S180" s="4"/>
      <c r="T180" s="5"/>
      <c r="U180" s="5"/>
      <c r="V180" s="4"/>
      <c r="W180" s="5"/>
      <c r="X180" s="5"/>
      <c r="Y180" s="5"/>
      <c r="Z180" s="5"/>
      <c r="AA180" s="19"/>
      <c r="AB180" s="5"/>
    </row>
    <row r="181" spans="18:28" ht="10">
      <c r="R181" s="5"/>
      <c r="S181" s="4"/>
      <c r="T181" s="5"/>
      <c r="U181" s="5"/>
      <c r="V181" s="4"/>
      <c r="W181" s="5"/>
      <c r="X181" s="5"/>
      <c r="Y181" s="5"/>
      <c r="Z181" s="5"/>
      <c r="AA181" s="19"/>
      <c r="AB181" s="5"/>
    </row>
    <row r="182" spans="18:28" ht="10">
      <c r="R182" s="5"/>
      <c r="S182" s="4"/>
      <c r="T182" s="5"/>
      <c r="U182" s="5"/>
      <c r="V182" s="4"/>
      <c r="W182" s="5"/>
      <c r="X182" s="5"/>
      <c r="Y182" s="5"/>
      <c r="Z182" s="5"/>
      <c r="AA182" s="19"/>
      <c r="AB182" s="5"/>
    </row>
    <row r="183" spans="18:28" ht="10">
      <c r="R183" s="5"/>
      <c r="S183" s="4"/>
      <c r="T183" s="5"/>
      <c r="U183" s="5"/>
      <c r="V183" s="4"/>
      <c r="W183" s="5"/>
      <c r="X183" s="5"/>
      <c r="Y183" s="5"/>
      <c r="Z183" s="5"/>
      <c r="AA183" s="19"/>
      <c r="AB183" s="5"/>
    </row>
    <row r="184" spans="18:28" ht="10">
      <c r="R184" s="5"/>
      <c r="S184" s="4"/>
      <c r="T184" s="5"/>
      <c r="U184" s="5"/>
      <c r="V184" s="4"/>
      <c r="W184" s="5"/>
      <c r="X184" s="5"/>
      <c r="Y184" s="5"/>
      <c r="Z184" s="5"/>
      <c r="AA184" s="19"/>
      <c r="AB184" s="5"/>
    </row>
    <row r="185" spans="18:28" ht="10">
      <c r="R185" s="5"/>
      <c r="S185" s="4"/>
      <c r="T185" s="5"/>
      <c r="U185" s="5"/>
      <c r="V185" s="4"/>
      <c r="W185" s="5"/>
      <c r="X185" s="5"/>
      <c r="Y185" s="5"/>
      <c r="Z185" s="5"/>
      <c r="AA185" s="19"/>
      <c r="AB185" s="5"/>
    </row>
    <row r="186" spans="18:28" ht="10">
      <c r="R186" s="5"/>
      <c r="S186" s="4"/>
      <c r="T186" s="5"/>
      <c r="U186" s="5"/>
      <c r="V186" s="4"/>
      <c r="W186" s="5"/>
      <c r="X186" s="5"/>
      <c r="Y186" s="5"/>
      <c r="Z186" s="5"/>
      <c r="AA186" s="19"/>
      <c r="AB186" s="5"/>
    </row>
    <row r="187" spans="18:28" ht="10">
      <c r="R187" s="5"/>
      <c r="S187" s="4"/>
      <c r="T187" s="5"/>
      <c r="U187" s="5"/>
      <c r="V187" s="4"/>
      <c r="W187" s="5"/>
      <c r="X187" s="5"/>
      <c r="Y187" s="5"/>
      <c r="Z187" s="5"/>
      <c r="AA187" s="19"/>
      <c r="AB187" s="5"/>
    </row>
    <row r="188" spans="18:28" ht="10">
      <c r="R188" s="5"/>
      <c r="S188" s="4"/>
      <c r="T188" s="5"/>
      <c r="U188" s="5"/>
      <c r="V188" s="4"/>
      <c r="W188" s="5"/>
      <c r="X188" s="5"/>
      <c r="Y188" s="5"/>
      <c r="Z188" s="5"/>
      <c r="AA188" s="19"/>
      <c r="AB188" s="5"/>
    </row>
    <row r="189" spans="18:28" ht="10">
      <c r="R189" s="5"/>
      <c r="S189" s="4"/>
      <c r="T189" s="5"/>
      <c r="U189" s="5"/>
      <c r="V189" s="4"/>
      <c r="W189" s="5"/>
      <c r="X189" s="5"/>
      <c r="Y189" s="5"/>
      <c r="Z189" s="5"/>
      <c r="AA189" s="19"/>
      <c r="AB189" s="5"/>
    </row>
    <row r="190" spans="18:28" ht="10">
      <c r="R190" s="5"/>
      <c r="S190" s="4"/>
      <c r="T190" s="5"/>
      <c r="U190" s="5"/>
      <c r="V190" s="4"/>
      <c r="W190" s="5"/>
      <c r="X190" s="5"/>
      <c r="Y190" s="5"/>
      <c r="Z190" s="5"/>
      <c r="AA190" s="19"/>
      <c r="AB190" s="5"/>
    </row>
  </sheetData>
  <dataValidations disablePrompts="1" count="2">
    <dataValidation type="list" allowBlank="1" showInputMessage="1" showErrorMessage="1" sqref="C5:C9 C23:C27 C29:C33 C35:C45 C11:C21 C47:C76" xr:uid="{FF41B20D-F01E-456D-B727-45F7C4B24C9E}">
      <formula1>INDIRECT("t_"&amp;$B5)</formula1>
    </dataValidation>
    <dataValidation type="list" allowBlank="1" showInputMessage="1" showErrorMessage="1" sqref="B5:B9 B11:B21 B23:B27 B29:B33 B35:B45 B47:B76" xr:uid="{3456CCD6-9EC0-4E3B-8F67-5A1189431634}">
      <formula1>INDIRECT("t_TipoDeclaración")</formula1>
    </dataValidation>
  </dataValidations>
  <printOptions horizontalCentered="1"/>
  <pageMargins left="0.19685039370078741" right="0.19685039370078741" top="0.59055118110236227" bottom="0.59055118110236227" header="0.51181102362204722" footer="0.51181102362204722"/>
  <pageSetup scale="30" orientation="landscape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D901-8611-4455-B128-40B64D5964B5}">
  <sheetPr>
    <tabColor theme="3"/>
    <pageSetUpPr fitToPage="1"/>
  </sheetPr>
  <dimension ref="A1:Y190"/>
  <sheetViews>
    <sheetView showGridLines="0" zoomScaleNormal="10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E3" sqref="E3"/>
    </sheetView>
  </sheetViews>
  <sheetFormatPr baseColWidth="10" defaultColWidth="9.08984375" defaultRowHeight="11.5" outlineLevelRow="1"/>
  <cols>
    <col min="1" max="1" width="11.6328125" style="1" customWidth="1"/>
    <col min="2" max="2" width="15" style="1" customWidth="1"/>
    <col min="3" max="3" width="22.36328125" style="1" hidden="1" customWidth="1"/>
    <col min="4" max="5" width="13.54296875" style="1" customWidth="1"/>
    <col min="6" max="6" width="12.54296875" style="1" customWidth="1"/>
    <col min="7" max="7" width="14.08984375" style="1" customWidth="1"/>
    <col min="8" max="11" width="16.36328125" style="1" customWidth="1"/>
    <col min="12" max="12" width="11" style="1" customWidth="1"/>
    <col min="13" max="13" width="15.54296875" style="1" customWidth="1"/>
    <col min="14" max="14" width="13.6328125" style="1" customWidth="1"/>
    <col min="15" max="15" width="12.08984375" style="1" customWidth="1"/>
    <col min="16" max="16" width="3.453125" style="1" customWidth="1"/>
    <col min="17" max="17" width="12.6328125" style="2" customWidth="1"/>
    <col min="18" max="18" width="23.08984375" style="1" bestFit="1" customWidth="1"/>
    <col min="19" max="19" width="28.54296875" style="1" customWidth="1"/>
    <col min="20" max="20" width="15.54296875" style="2" customWidth="1"/>
    <col min="21" max="21" width="27" style="1" bestFit="1" customWidth="1"/>
    <col min="22" max="22" width="22.453125" style="1" bestFit="1" customWidth="1"/>
    <col min="23" max="23" width="13.6328125" style="11" customWidth="1"/>
    <col min="24" max="24" width="30.1796875" style="1" bestFit="1" customWidth="1"/>
    <col min="25" max="16384" width="9.08984375" style="1"/>
  </cols>
  <sheetData>
    <row r="1" spans="1:25" s="48" customFormat="1">
      <c r="A1" s="54">
        <f>+ISN!A1</f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72"/>
      <c r="O1" s="72"/>
      <c r="P1" s="58" t="s">
        <v>45</v>
      </c>
      <c r="Q1" s="58"/>
      <c r="R1" s="58"/>
      <c r="S1" s="58"/>
      <c r="T1" s="58"/>
      <c r="U1" s="58"/>
      <c r="V1" s="58"/>
      <c r="W1" s="55"/>
      <c r="X1" s="57"/>
    </row>
    <row r="2" spans="1:25" s="48" customFormat="1">
      <c r="A2" s="54" t="s">
        <v>87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72"/>
      <c r="O2" s="72"/>
      <c r="P2" s="58" t="s">
        <v>45</v>
      </c>
      <c r="Q2" s="58"/>
      <c r="R2" s="58"/>
      <c r="S2" s="58"/>
      <c r="T2" s="58"/>
      <c r="U2" s="58"/>
      <c r="V2" s="58"/>
      <c r="W2" s="55"/>
      <c r="X2" s="57"/>
    </row>
    <row r="3" spans="1:25" s="63" customFormat="1" ht="28.25" customHeight="1">
      <c r="A3" s="9" t="s">
        <v>19</v>
      </c>
      <c r="B3" s="9" t="s">
        <v>18</v>
      </c>
      <c r="C3" s="9" t="s">
        <v>59</v>
      </c>
      <c r="D3" s="9" t="s">
        <v>63</v>
      </c>
      <c r="E3" s="9" t="s">
        <v>72</v>
      </c>
      <c r="F3" s="9" t="s">
        <v>62</v>
      </c>
      <c r="G3" s="9" t="s">
        <v>64</v>
      </c>
      <c r="H3" s="9" t="s">
        <v>46</v>
      </c>
      <c r="I3" s="9" t="s">
        <v>15</v>
      </c>
      <c r="J3" s="9" t="s">
        <v>67</v>
      </c>
      <c r="K3" s="9" t="s">
        <v>79</v>
      </c>
      <c r="L3" s="9" t="s">
        <v>80</v>
      </c>
      <c r="M3" s="9" t="s">
        <v>76</v>
      </c>
      <c r="N3" s="9" t="s">
        <v>77</v>
      </c>
      <c r="O3" s="9" t="s">
        <v>78</v>
      </c>
      <c r="P3" s="8"/>
      <c r="Q3" s="10" t="s">
        <v>73</v>
      </c>
      <c r="R3" s="10" t="s">
        <v>68</v>
      </c>
      <c r="S3" s="10" t="s">
        <v>69</v>
      </c>
      <c r="T3" s="10" t="s">
        <v>20</v>
      </c>
      <c r="U3" s="10" t="s">
        <v>16</v>
      </c>
      <c r="V3" s="10" t="s">
        <v>17</v>
      </c>
      <c r="W3" s="10" t="s">
        <v>81</v>
      </c>
      <c r="X3" s="10" t="s">
        <v>82</v>
      </c>
    </row>
    <row r="4" spans="1:25" s="11" customFormat="1">
      <c r="Q4" s="14"/>
      <c r="T4" s="14"/>
    </row>
    <row r="5" spans="1:25" s="21" customFormat="1">
      <c r="A5" s="21" t="s">
        <v>0</v>
      </c>
      <c r="B5" s="20"/>
      <c r="C5" s="20"/>
      <c r="D5" s="64"/>
      <c r="E5" s="66"/>
      <c r="F5" s="65"/>
      <c r="G5" s="23">
        <f>ROUND(E5*F5,0)</f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3">
        <f>G5+H5+I5+J5-L5</f>
        <v>0</v>
      </c>
      <c r="N5" s="23">
        <v>0</v>
      </c>
      <c r="O5" s="73">
        <v>0</v>
      </c>
      <c r="P5" s="24"/>
      <c r="Q5" s="41"/>
      <c r="R5" s="42"/>
      <c r="S5" s="42"/>
      <c r="T5" s="45"/>
      <c r="U5" s="42"/>
      <c r="V5" s="42"/>
      <c r="W5" s="26"/>
      <c r="X5" s="42"/>
      <c r="Y5" s="3"/>
    </row>
    <row r="6" spans="1:25" s="21" customFormat="1" hidden="1" outlineLevel="1">
      <c r="A6" s="21" t="s">
        <v>0</v>
      </c>
      <c r="B6" s="20"/>
      <c r="C6" s="20"/>
      <c r="D6" s="64"/>
      <c r="E6" s="66"/>
      <c r="F6" s="65"/>
      <c r="G6" s="23">
        <f t="shared" ref="G6:G69" si="0">E6*F6</f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3">
        <f t="shared" ref="M6:M20" si="1">G6+H6+I6+J6-L6</f>
        <v>0</v>
      </c>
      <c r="N6" s="23">
        <f>H6+I6+J6+L6-M6-O6</f>
        <v>0</v>
      </c>
      <c r="O6" s="73">
        <f>G6+H6+I6+J6-L6-M6</f>
        <v>0</v>
      </c>
      <c r="P6" s="24"/>
      <c r="Q6" s="41"/>
      <c r="R6" s="45"/>
      <c r="S6" s="42"/>
      <c r="T6" s="45"/>
      <c r="U6" s="42"/>
      <c r="V6" s="42"/>
      <c r="W6" s="15"/>
      <c r="X6" s="44"/>
    </row>
    <row r="7" spans="1:25" s="21" customFormat="1" hidden="1" outlineLevel="1">
      <c r="A7" s="21" t="s">
        <v>0</v>
      </c>
      <c r="B7" s="20"/>
      <c r="C7" s="20"/>
      <c r="D7" s="64"/>
      <c r="E7" s="66"/>
      <c r="F7" s="65"/>
      <c r="G7" s="23">
        <f t="shared" si="0"/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3">
        <f t="shared" si="1"/>
        <v>0</v>
      </c>
      <c r="N7" s="23">
        <f>H7+I7+J7+L7-M7-O7</f>
        <v>0</v>
      </c>
      <c r="O7" s="73">
        <f>G7+H7+I7+J7-L7-M7</f>
        <v>0</v>
      </c>
      <c r="P7" s="24"/>
      <c r="Q7" s="41"/>
      <c r="R7" s="45"/>
      <c r="S7" s="42"/>
      <c r="T7" s="45"/>
      <c r="U7" s="42"/>
      <c r="V7" s="42"/>
      <c r="W7" s="15"/>
      <c r="X7" s="44"/>
    </row>
    <row r="8" spans="1:25" s="21" customFormat="1" hidden="1" outlineLevel="1">
      <c r="A8" s="21" t="s">
        <v>0</v>
      </c>
      <c r="B8" s="20"/>
      <c r="C8" s="20"/>
      <c r="D8" s="64"/>
      <c r="E8" s="66"/>
      <c r="F8" s="65"/>
      <c r="G8" s="23">
        <f t="shared" si="0"/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3">
        <f t="shared" si="1"/>
        <v>0</v>
      </c>
      <c r="N8" s="23">
        <f>H8+I8+J8+L8-M8-O8</f>
        <v>0</v>
      </c>
      <c r="O8" s="73">
        <f>G8+H8+I8+J8-L8-M8</f>
        <v>0</v>
      </c>
      <c r="P8" s="24"/>
      <c r="Q8" s="41"/>
      <c r="R8" s="45"/>
      <c r="S8" s="42"/>
      <c r="T8" s="45"/>
      <c r="U8" s="42"/>
      <c r="V8" s="42"/>
      <c r="W8" s="15"/>
      <c r="X8" s="44"/>
    </row>
    <row r="9" spans="1:25" s="21" customFormat="1" hidden="1" outlineLevel="1">
      <c r="A9" s="21" t="s">
        <v>0</v>
      </c>
      <c r="B9" s="20"/>
      <c r="C9" s="20"/>
      <c r="D9" s="64"/>
      <c r="E9" s="66"/>
      <c r="F9" s="65"/>
      <c r="G9" s="23">
        <f t="shared" si="0"/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3">
        <f t="shared" si="1"/>
        <v>0</v>
      </c>
      <c r="N9" s="23">
        <f>H9+I9+J9+L9-M9-O9</f>
        <v>0</v>
      </c>
      <c r="O9" s="73">
        <f>G9+H9+I9+J9-L9-M9</f>
        <v>0</v>
      </c>
      <c r="P9" s="24"/>
      <c r="Q9" s="41"/>
      <c r="R9" s="45"/>
      <c r="S9" s="42"/>
      <c r="T9" s="45"/>
      <c r="U9" s="42"/>
      <c r="V9" s="42"/>
      <c r="W9" s="15"/>
      <c r="X9" s="44"/>
    </row>
    <row r="10" spans="1:25" s="21" customFormat="1" collapsed="1">
      <c r="B10" s="20"/>
      <c r="C10" s="20"/>
      <c r="D10" s="64"/>
      <c r="E10" s="66"/>
      <c r="F10" s="65"/>
      <c r="G10" s="23"/>
      <c r="H10" s="22"/>
      <c r="I10" s="22"/>
      <c r="J10" s="22"/>
      <c r="K10" s="22"/>
      <c r="L10" s="22"/>
      <c r="M10" s="23"/>
      <c r="N10" s="23"/>
      <c r="O10" s="73"/>
      <c r="P10" s="24"/>
      <c r="Q10" s="41"/>
      <c r="R10" s="43"/>
      <c r="S10" s="43"/>
      <c r="T10" s="41"/>
      <c r="U10" s="25"/>
      <c r="V10" s="25"/>
      <c r="W10" s="15"/>
      <c r="X10" s="25"/>
    </row>
    <row r="11" spans="1:25" s="21" customFormat="1">
      <c r="A11" s="21" t="s">
        <v>1</v>
      </c>
      <c r="B11" s="20"/>
      <c r="C11" s="20"/>
      <c r="D11" s="64"/>
      <c r="E11" s="66"/>
      <c r="F11" s="65"/>
      <c r="G11" s="23">
        <f>ROUND(E11*F11,0)</f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3">
        <f>G11+H11+I11+J11-L11</f>
        <v>0</v>
      </c>
      <c r="N11" s="23">
        <v>0</v>
      </c>
      <c r="O11" s="73">
        <v>0</v>
      </c>
      <c r="P11" s="24"/>
      <c r="Q11" s="41"/>
      <c r="R11" s="42"/>
      <c r="S11" s="42"/>
      <c r="T11" s="45"/>
      <c r="U11" s="42"/>
      <c r="V11" s="42"/>
      <c r="W11" s="26"/>
      <c r="X11" s="42"/>
      <c r="Y11" s="3"/>
    </row>
    <row r="12" spans="1:25" s="21" customFormat="1" hidden="1" outlineLevel="1">
      <c r="A12" s="21" t="s">
        <v>1</v>
      </c>
      <c r="B12" s="20"/>
      <c r="C12" s="20"/>
      <c r="D12" s="64"/>
      <c r="E12" s="66"/>
      <c r="F12" s="65"/>
      <c r="G12" s="23">
        <f t="shared" si="0"/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3">
        <f t="shared" si="1"/>
        <v>0</v>
      </c>
      <c r="N12" s="23">
        <f>H12+I12+J12+L12-M12-O12</f>
        <v>0</v>
      </c>
      <c r="O12" s="73">
        <f>G12+H12+I12+J12-L12-M12</f>
        <v>0</v>
      </c>
      <c r="P12" s="24"/>
      <c r="Q12" s="41"/>
      <c r="R12" s="45"/>
      <c r="S12" s="42"/>
      <c r="T12" s="45"/>
      <c r="U12" s="42"/>
      <c r="V12" s="42"/>
      <c r="W12" s="15"/>
      <c r="X12" s="42"/>
    </row>
    <row r="13" spans="1:25" s="21" customFormat="1" hidden="1" outlineLevel="1">
      <c r="A13" s="21" t="s">
        <v>1</v>
      </c>
      <c r="B13" s="20"/>
      <c r="C13" s="20"/>
      <c r="D13" s="64"/>
      <c r="E13" s="66"/>
      <c r="F13" s="65"/>
      <c r="G13" s="23">
        <f t="shared" si="0"/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3">
        <f t="shared" si="1"/>
        <v>0</v>
      </c>
      <c r="N13" s="23">
        <f>H13+I13+J13+L13-M13-O13</f>
        <v>0</v>
      </c>
      <c r="O13" s="73">
        <f>G13+H13+I13+J13-L13-M13</f>
        <v>0</v>
      </c>
      <c r="P13" s="24"/>
      <c r="Q13" s="41"/>
      <c r="R13" s="45"/>
      <c r="S13" s="42"/>
      <c r="T13" s="45"/>
      <c r="U13" s="42"/>
      <c r="V13" s="42"/>
      <c r="W13" s="15"/>
      <c r="X13" s="42"/>
    </row>
    <row r="14" spans="1:25" s="21" customFormat="1" hidden="1" outlineLevel="1">
      <c r="A14" s="21" t="s">
        <v>1</v>
      </c>
      <c r="B14" s="20"/>
      <c r="C14" s="20"/>
      <c r="D14" s="64"/>
      <c r="E14" s="66"/>
      <c r="F14" s="65"/>
      <c r="G14" s="23">
        <f t="shared" si="0"/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3">
        <f t="shared" si="1"/>
        <v>0</v>
      </c>
      <c r="N14" s="23">
        <f>H14+I14+J14+L14-M14-O14</f>
        <v>0</v>
      </c>
      <c r="O14" s="73">
        <f>G14+H14+I14+J14-L14-M14</f>
        <v>0</v>
      </c>
      <c r="P14" s="24"/>
      <c r="Q14" s="41"/>
      <c r="R14" s="45"/>
      <c r="S14" s="42"/>
      <c r="T14" s="45"/>
      <c r="U14" s="42"/>
      <c r="V14" s="42"/>
      <c r="W14" s="15"/>
      <c r="X14" s="42"/>
    </row>
    <row r="15" spans="1:25" s="21" customFormat="1" hidden="1" outlineLevel="1">
      <c r="A15" s="21" t="s">
        <v>1</v>
      </c>
      <c r="B15" s="20"/>
      <c r="C15" s="20"/>
      <c r="D15" s="64"/>
      <c r="E15" s="66"/>
      <c r="F15" s="65"/>
      <c r="G15" s="23">
        <f t="shared" si="0"/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3">
        <f t="shared" si="1"/>
        <v>0</v>
      </c>
      <c r="N15" s="23">
        <f>H15+I15+J15+L15-M15-O15</f>
        <v>0</v>
      </c>
      <c r="O15" s="73">
        <f>G15+H15+I15+J15-L15-M15</f>
        <v>0</v>
      </c>
      <c r="P15" s="24"/>
      <c r="Q15" s="41"/>
      <c r="R15" s="45"/>
      <c r="S15" s="42"/>
      <c r="T15" s="45"/>
      <c r="U15" s="42"/>
      <c r="V15" s="42"/>
      <c r="W15" s="15"/>
      <c r="X15" s="42"/>
    </row>
    <row r="16" spans="1:25" s="21" customFormat="1" collapsed="1">
      <c r="B16" s="20"/>
      <c r="C16" s="20"/>
      <c r="D16" s="64"/>
      <c r="E16" s="66"/>
      <c r="F16" s="65"/>
      <c r="G16" s="23"/>
      <c r="H16" s="22"/>
      <c r="I16" s="22"/>
      <c r="J16" s="22"/>
      <c r="K16" s="22"/>
      <c r="L16" s="22"/>
      <c r="M16" s="23"/>
      <c r="N16" s="23"/>
      <c r="O16" s="73"/>
      <c r="P16" s="24"/>
      <c r="Q16" s="41"/>
      <c r="R16" s="45"/>
      <c r="S16" s="42"/>
      <c r="T16" s="45"/>
      <c r="U16" s="42"/>
      <c r="V16" s="42"/>
      <c r="W16" s="15"/>
      <c r="X16" s="42"/>
    </row>
    <row r="17" spans="1:25" s="21" customFormat="1">
      <c r="A17" s="21" t="s">
        <v>2</v>
      </c>
      <c r="B17" s="20"/>
      <c r="C17" s="20"/>
      <c r="D17" s="64"/>
      <c r="E17" s="66"/>
      <c r="F17" s="65"/>
      <c r="G17" s="23">
        <f>ROUND(E17*F17,0)</f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3">
        <f t="shared" si="1"/>
        <v>0</v>
      </c>
      <c r="N17" s="23">
        <v>0</v>
      </c>
      <c r="O17" s="73">
        <v>0</v>
      </c>
      <c r="P17" s="24"/>
      <c r="Q17" s="41"/>
      <c r="R17" s="42"/>
      <c r="S17" s="42"/>
      <c r="T17" s="45"/>
      <c r="U17" s="42"/>
      <c r="V17" s="42"/>
      <c r="W17" s="26"/>
      <c r="X17" s="42"/>
      <c r="Y17" s="3"/>
    </row>
    <row r="18" spans="1:25" s="21" customFormat="1" hidden="1" outlineLevel="1">
      <c r="A18" s="21" t="s">
        <v>2</v>
      </c>
      <c r="B18" s="20"/>
      <c r="C18" s="20"/>
      <c r="D18" s="64"/>
      <c r="E18" s="66"/>
      <c r="F18" s="65"/>
      <c r="G18" s="23">
        <f t="shared" si="0"/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3">
        <f t="shared" si="1"/>
        <v>0</v>
      </c>
      <c r="N18" s="23">
        <f>H18+I18+J18+L18-M18-O18</f>
        <v>0</v>
      </c>
      <c r="O18" s="73">
        <f>G18+H18+I18+J18-L18-M18</f>
        <v>0</v>
      </c>
      <c r="P18" s="24"/>
      <c r="Q18" s="41"/>
      <c r="R18" s="44"/>
      <c r="S18" s="42"/>
      <c r="T18" s="45"/>
      <c r="U18" s="42"/>
      <c r="V18" s="42"/>
      <c r="W18" s="15"/>
      <c r="X18" s="42"/>
    </row>
    <row r="19" spans="1:25" s="21" customFormat="1" hidden="1" outlineLevel="1">
      <c r="A19" s="21" t="s">
        <v>2</v>
      </c>
      <c r="B19" s="20"/>
      <c r="C19" s="20"/>
      <c r="D19" s="64"/>
      <c r="E19" s="66"/>
      <c r="F19" s="65"/>
      <c r="G19" s="23">
        <f t="shared" si="0"/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3">
        <f t="shared" si="1"/>
        <v>0</v>
      </c>
      <c r="N19" s="23">
        <f>H19+I19+J19+L19-M19-O19</f>
        <v>0</v>
      </c>
      <c r="O19" s="73">
        <f>G19+H19+I19+J19-L19-M19</f>
        <v>0</v>
      </c>
      <c r="P19" s="24"/>
      <c r="Q19" s="41"/>
      <c r="R19" s="44"/>
      <c r="S19" s="42"/>
      <c r="T19" s="45"/>
      <c r="U19" s="42"/>
      <c r="V19" s="42"/>
      <c r="W19" s="15"/>
      <c r="X19" s="42"/>
    </row>
    <row r="20" spans="1:25" s="21" customFormat="1" hidden="1" outlineLevel="1">
      <c r="A20" s="21" t="s">
        <v>2</v>
      </c>
      <c r="B20" s="20"/>
      <c r="C20" s="20"/>
      <c r="D20" s="64"/>
      <c r="E20" s="66"/>
      <c r="F20" s="65"/>
      <c r="G20" s="23">
        <f t="shared" si="0"/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3">
        <f t="shared" si="1"/>
        <v>0</v>
      </c>
      <c r="N20" s="23">
        <f>H20+I20+J20+L20-M20-O20</f>
        <v>0</v>
      </c>
      <c r="O20" s="73">
        <f>G20+H20+I20+J20-L20-M20</f>
        <v>0</v>
      </c>
      <c r="P20" s="24"/>
      <c r="Q20" s="41"/>
      <c r="R20" s="44"/>
      <c r="S20" s="42"/>
      <c r="T20" s="45"/>
      <c r="U20" s="42"/>
      <c r="V20" s="42"/>
      <c r="W20" s="15"/>
      <c r="X20" s="42"/>
    </row>
    <row r="21" spans="1:25" s="21" customFormat="1" hidden="1" outlineLevel="1">
      <c r="B21" s="20"/>
      <c r="C21" s="20"/>
      <c r="D21" s="64"/>
      <c r="E21" s="66"/>
      <c r="F21" s="65"/>
      <c r="G21" s="23"/>
      <c r="H21" s="22"/>
      <c r="I21" s="22"/>
      <c r="J21" s="22"/>
      <c r="K21" s="22"/>
      <c r="L21" s="22"/>
      <c r="M21" s="23"/>
      <c r="N21" s="23"/>
      <c r="O21" s="73"/>
      <c r="P21" s="24"/>
      <c r="Q21" s="41"/>
      <c r="R21" s="44"/>
      <c r="S21" s="42"/>
      <c r="T21" s="45"/>
      <c r="U21" s="42"/>
      <c r="V21" s="42"/>
      <c r="W21" s="15"/>
      <c r="X21" s="42"/>
    </row>
    <row r="22" spans="1:25" s="21" customFormat="1" collapsed="1">
      <c r="B22" s="20"/>
      <c r="C22" s="20"/>
      <c r="D22" s="64"/>
      <c r="E22" s="66"/>
      <c r="F22" s="65"/>
      <c r="G22" s="23"/>
      <c r="H22" s="22"/>
      <c r="I22" s="22"/>
      <c r="J22" s="22"/>
      <c r="K22" s="22"/>
      <c r="L22" s="22"/>
      <c r="M22" s="23"/>
      <c r="N22" s="23"/>
      <c r="O22" s="73"/>
      <c r="P22" s="24"/>
      <c r="Q22" s="41"/>
      <c r="R22" s="25"/>
      <c r="S22" s="43"/>
      <c r="T22" s="41"/>
      <c r="U22" s="25"/>
      <c r="V22" s="25"/>
      <c r="W22" s="15"/>
      <c r="X22" s="25"/>
    </row>
    <row r="23" spans="1:25" s="21" customFormat="1">
      <c r="A23" s="21" t="s">
        <v>3</v>
      </c>
      <c r="B23" s="20"/>
      <c r="C23" s="20"/>
      <c r="D23" s="64"/>
      <c r="E23" s="66"/>
      <c r="F23" s="65"/>
      <c r="G23" s="23">
        <f>ROUND(E23*F23,0)</f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3">
        <f t="shared" ref="M23:M75" si="2">G23+H23+I23+J23-L23</f>
        <v>0</v>
      </c>
      <c r="N23" s="23">
        <v>0</v>
      </c>
      <c r="O23" s="73">
        <v>0</v>
      </c>
      <c r="P23" s="24"/>
      <c r="Q23" s="41"/>
      <c r="R23" s="42"/>
      <c r="S23" s="42"/>
      <c r="T23" s="41"/>
      <c r="U23" s="42"/>
      <c r="V23" s="42"/>
      <c r="W23" s="26"/>
      <c r="X23" s="42"/>
      <c r="Y23" s="3"/>
    </row>
    <row r="24" spans="1:25" s="21" customFormat="1" hidden="1" outlineLevel="1">
      <c r="A24" s="21" t="s">
        <v>3</v>
      </c>
      <c r="B24" s="20"/>
      <c r="C24" s="20"/>
      <c r="D24" s="64"/>
      <c r="E24" s="66"/>
      <c r="F24" s="65"/>
      <c r="G24" s="23">
        <f t="shared" si="0"/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3">
        <f t="shared" si="2"/>
        <v>0</v>
      </c>
      <c r="N24" s="23">
        <f>H24+I24+J24+L24-M24-O24</f>
        <v>0</v>
      </c>
      <c r="O24" s="73">
        <f>G24+H24+I24+J24-L24-M24</f>
        <v>0</v>
      </c>
      <c r="P24" s="24"/>
      <c r="Q24" s="41"/>
      <c r="R24" s="42"/>
      <c r="S24" s="42"/>
      <c r="T24" s="41"/>
      <c r="U24" s="42"/>
      <c r="V24" s="42"/>
      <c r="W24" s="15"/>
      <c r="X24" s="42"/>
    </row>
    <row r="25" spans="1:25" s="21" customFormat="1" hidden="1" outlineLevel="1">
      <c r="A25" s="21" t="s">
        <v>3</v>
      </c>
      <c r="B25" s="20"/>
      <c r="C25" s="20"/>
      <c r="D25" s="64"/>
      <c r="E25" s="66"/>
      <c r="F25" s="65"/>
      <c r="G25" s="23">
        <f t="shared" si="0"/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f t="shared" si="2"/>
        <v>0</v>
      </c>
      <c r="N25" s="23">
        <f>H25+I25+J25+L25-M25-O25</f>
        <v>0</v>
      </c>
      <c r="O25" s="73">
        <f>G25+H25+I25+J25-L25-M25</f>
        <v>0</v>
      </c>
      <c r="P25" s="24"/>
      <c r="Q25" s="41"/>
      <c r="R25" s="42"/>
      <c r="S25" s="42"/>
      <c r="T25" s="41"/>
      <c r="U25" s="42"/>
      <c r="V25" s="42"/>
      <c r="W25" s="15"/>
      <c r="X25" s="42"/>
    </row>
    <row r="26" spans="1:25" s="21" customFormat="1" hidden="1" outlineLevel="1">
      <c r="A26" s="21" t="s">
        <v>3</v>
      </c>
      <c r="B26" s="20"/>
      <c r="C26" s="20"/>
      <c r="D26" s="64"/>
      <c r="E26" s="66"/>
      <c r="F26" s="65"/>
      <c r="G26" s="23">
        <f t="shared" si="0"/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3">
        <f t="shared" si="2"/>
        <v>0</v>
      </c>
      <c r="N26" s="23">
        <f>H26+I26+J26+L26-M26-O26</f>
        <v>0</v>
      </c>
      <c r="O26" s="73">
        <f>G26+H26+I26+J26-L26-M26</f>
        <v>0</v>
      </c>
      <c r="P26" s="24"/>
      <c r="Q26" s="41"/>
      <c r="R26" s="42"/>
      <c r="S26" s="42"/>
      <c r="T26" s="41"/>
      <c r="U26" s="42"/>
      <c r="V26" s="42"/>
      <c r="W26" s="15"/>
      <c r="X26" s="42"/>
    </row>
    <row r="27" spans="1:25" s="21" customFormat="1" hidden="1" outlineLevel="1">
      <c r="A27" s="21" t="s">
        <v>3</v>
      </c>
      <c r="B27" s="20"/>
      <c r="C27" s="20"/>
      <c r="D27" s="64"/>
      <c r="E27" s="66"/>
      <c r="F27" s="65"/>
      <c r="G27" s="23">
        <f t="shared" si="0"/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f t="shared" si="2"/>
        <v>0</v>
      </c>
      <c r="N27" s="23">
        <f>H27+I27+J27+L27-M27-O27</f>
        <v>0</v>
      </c>
      <c r="O27" s="73">
        <f>G27+H27+I27+J27-L27-M27</f>
        <v>0</v>
      </c>
      <c r="P27" s="24"/>
      <c r="Q27" s="41"/>
      <c r="R27" s="42"/>
      <c r="S27" s="42"/>
      <c r="T27" s="41"/>
      <c r="U27" s="42"/>
      <c r="V27" s="42"/>
      <c r="W27" s="15"/>
      <c r="X27" s="42"/>
    </row>
    <row r="28" spans="1:25" s="21" customFormat="1" collapsed="1">
      <c r="B28" s="20"/>
      <c r="C28" s="20"/>
      <c r="D28" s="64"/>
      <c r="E28" s="66"/>
      <c r="F28" s="65"/>
      <c r="G28" s="23"/>
      <c r="H28" s="22"/>
      <c r="I28" s="22"/>
      <c r="J28" s="22"/>
      <c r="K28" s="22"/>
      <c r="L28" s="22"/>
      <c r="M28" s="23"/>
      <c r="N28" s="23"/>
      <c r="O28" s="73"/>
      <c r="P28" s="24"/>
      <c r="Q28" s="41"/>
      <c r="R28" s="25"/>
      <c r="S28" s="43"/>
      <c r="T28" s="41"/>
      <c r="U28" s="25"/>
      <c r="V28" s="25"/>
      <c r="W28" s="15"/>
      <c r="X28" s="25"/>
    </row>
    <row r="29" spans="1:25" s="21" customFormat="1">
      <c r="A29" s="21" t="s">
        <v>4</v>
      </c>
      <c r="B29" s="20"/>
      <c r="C29" s="20"/>
      <c r="D29" s="64"/>
      <c r="E29" s="66"/>
      <c r="F29" s="65"/>
      <c r="G29" s="23">
        <f>ROUND(E29*F29,0)</f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3">
        <f t="shared" si="2"/>
        <v>0</v>
      </c>
      <c r="N29" s="23">
        <v>0</v>
      </c>
      <c r="O29" s="73">
        <v>0</v>
      </c>
      <c r="P29" s="24"/>
      <c r="Q29" s="41"/>
      <c r="R29" s="42"/>
      <c r="S29" s="42"/>
      <c r="T29" s="45"/>
      <c r="U29" s="42"/>
      <c r="V29" s="42"/>
      <c r="W29" s="26"/>
      <c r="X29" s="42"/>
      <c r="Y29" s="3"/>
    </row>
    <row r="30" spans="1:25" s="21" customFormat="1" hidden="1" outlineLevel="1">
      <c r="A30" s="21" t="s">
        <v>4</v>
      </c>
      <c r="B30" s="20"/>
      <c r="C30" s="20"/>
      <c r="D30" s="64"/>
      <c r="E30" s="66"/>
      <c r="F30" s="65"/>
      <c r="G30" s="23">
        <f t="shared" si="0"/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3">
        <f t="shared" si="2"/>
        <v>0</v>
      </c>
      <c r="N30" s="23">
        <f>H30+I30+J30+L30-M30-O30</f>
        <v>0</v>
      </c>
      <c r="O30" s="73">
        <f>G30+H30+I30+J30-L30-M30</f>
        <v>0</v>
      </c>
      <c r="P30" s="24"/>
      <c r="Q30" s="41"/>
      <c r="R30" s="42"/>
      <c r="S30" s="42"/>
      <c r="T30" s="45"/>
      <c r="U30" s="26"/>
      <c r="V30" s="42"/>
      <c r="W30" s="15"/>
      <c r="X30" s="42"/>
    </row>
    <row r="31" spans="1:25" s="21" customFormat="1" hidden="1" outlineLevel="1">
      <c r="A31" s="21" t="s">
        <v>4</v>
      </c>
      <c r="B31" s="20"/>
      <c r="C31" s="20"/>
      <c r="D31" s="64"/>
      <c r="E31" s="66"/>
      <c r="F31" s="65"/>
      <c r="G31" s="23">
        <f t="shared" si="0"/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3">
        <f t="shared" si="2"/>
        <v>0</v>
      </c>
      <c r="N31" s="23">
        <f>H31+I31+J31+L31-M31-O31</f>
        <v>0</v>
      </c>
      <c r="O31" s="73">
        <f>G31+H31+I31+J31-L31-M31</f>
        <v>0</v>
      </c>
      <c r="P31" s="24"/>
      <c r="Q31" s="41"/>
      <c r="R31" s="42"/>
      <c r="S31" s="42"/>
      <c r="T31" s="45"/>
      <c r="U31" s="26"/>
      <c r="V31" s="42"/>
      <c r="W31" s="15"/>
      <c r="X31" s="42"/>
    </row>
    <row r="32" spans="1:25" s="21" customFormat="1" hidden="1" outlineLevel="1">
      <c r="A32" s="21" t="s">
        <v>4</v>
      </c>
      <c r="B32" s="20"/>
      <c r="C32" s="20"/>
      <c r="D32" s="64"/>
      <c r="E32" s="66"/>
      <c r="F32" s="65"/>
      <c r="G32" s="23">
        <f t="shared" si="0"/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f t="shared" si="2"/>
        <v>0</v>
      </c>
      <c r="N32" s="23">
        <f>H32+I32+J32+L32-M32-O32</f>
        <v>0</v>
      </c>
      <c r="O32" s="73">
        <f>G32+H32+I32+J32-L32-M32</f>
        <v>0</v>
      </c>
      <c r="P32" s="24"/>
      <c r="Q32" s="41"/>
      <c r="R32" s="42"/>
      <c r="S32" s="42"/>
      <c r="T32" s="45"/>
      <c r="U32" s="26"/>
      <c r="V32" s="42"/>
      <c r="W32" s="15"/>
      <c r="X32" s="42"/>
    </row>
    <row r="33" spans="1:25" s="21" customFormat="1" hidden="1" outlineLevel="1">
      <c r="A33" s="21" t="s">
        <v>4</v>
      </c>
      <c r="B33" s="20"/>
      <c r="C33" s="20"/>
      <c r="D33" s="64"/>
      <c r="E33" s="66"/>
      <c r="F33" s="65"/>
      <c r="G33" s="23">
        <f t="shared" si="0"/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f t="shared" si="2"/>
        <v>0</v>
      </c>
      <c r="N33" s="23">
        <f>H33+I33+J33+L33-M33-O33</f>
        <v>0</v>
      </c>
      <c r="O33" s="73">
        <f>G33+H33+I33+J33-L33-M33</f>
        <v>0</v>
      </c>
      <c r="P33" s="24"/>
      <c r="Q33" s="41"/>
      <c r="R33" s="42"/>
      <c r="S33" s="42"/>
      <c r="T33" s="45"/>
      <c r="U33" s="26"/>
      <c r="V33" s="42"/>
      <c r="W33" s="15"/>
      <c r="X33" s="42"/>
    </row>
    <row r="34" spans="1:25" s="21" customFormat="1" collapsed="1">
      <c r="B34" s="20"/>
      <c r="C34" s="20"/>
      <c r="D34" s="64"/>
      <c r="E34" s="66"/>
      <c r="F34" s="65"/>
      <c r="G34" s="23"/>
      <c r="H34" s="22"/>
      <c r="I34" s="22"/>
      <c r="J34" s="22"/>
      <c r="K34" s="22"/>
      <c r="L34" s="22"/>
      <c r="M34" s="23"/>
      <c r="N34" s="23"/>
      <c r="O34" s="73"/>
      <c r="P34" s="24"/>
      <c r="Q34" s="41"/>
      <c r="R34" s="25"/>
      <c r="S34" s="43"/>
      <c r="T34" s="41"/>
      <c r="U34" s="25"/>
      <c r="V34" s="25"/>
      <c r="W34" s="15"/>
      <c r="X34" s="25"/>
    </row>
    <row r="35" spans="1:25" s="21" customFormat="1">
      <c r="A35" s="21" t="s">
        <v>5</v>
      </c>
      <c r="B35" s="20"/>
      <c r="C35" s="20"/>
      <c r="D35" s="64"/>
      <c r="E35" s="66"/>
      <c r="F35" s="65"/>
      <c r="G35" s="23">
        <f>ROUND(E35*F35,0)</f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3">
        <f t="shared" si="2"/>
        <v>0</v>
      </c>
      <c r="N35" s="23">
        <v>0</v>
      </c>
      <c r="O35" s="73">
        <v>0</v>
      </c>
      <c r="P35" s="24"/>
      <c r="Q35" s="41"/>
      <c r="R35" s="42"/>
      <c r="S35" s="42"/>
      <c r="T35" s="45"/>
      <c r="U35" s="42"/>
      <c r="V35" s="42"/>
      <c r="W35" s="26"/>
      <c r="X35" s="42"/>
      <c r="Y35" s="3"/>
    </row>
    <row r="36" spans="1:25" s="21" customFormat="1" hidden="1" outlineLevel="1">
      <c r="A36" s="21" t="s">
        <v>5</v>
      </c>
      <c r="B36" s="20"/>
      <c r="C36" s="20"/>
      <c r="D36" s="64"/>
      <c r="E36" s="66"/>
      <c r="F36" s="65"/>
      <c r="G36" s="23">
        <f t="shared" si="0"/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3">
        <f t="shared" si="2"/>
        <v>0</v>
      </c>
      <c r="N36" s="23">
        <f>H36+I36+J36+L36-M36-O36</f>
        <v>0</v>
      </c>
      <c r="O36" s="73">
        <f>G36+H36+I36+J36-L36-M36</f>
        <v>0</v>
      </c>
      <c r="P36" s="24"/>
      <c r="Q36" s="41"/>
      <c r="R36" s="42"/>
      <c r="S36" s="42"/>
      <c r="T36" s="45"/>
      <c r="U36" s="26"/>
      <c r="V36" s="42"/>
      <c r="W36" s="15"/>
      <c r="X36" s="42"/>
    </row>
    <row r="37" spans="1:25" s="21" customFormat="1" hidden="1" outlineLevel="1">
      <c r="A37" s="21" t="s">
        <v>5</v>
      </c>
      <c r="B37" s="20"/>
      <c r="C37" s="20"/>
      <c r="D37" s="64"/>
      <c r="E37" s="66"/>
      <c r="F37" s="65"/>
      <c r="G37" s="23">
        <f t="shared" si="0"/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3">
        <f t="shared" si="2"/>
        <v>0</v>
      </c>
      <c r="N37" s="23">
        <f>H37+I37+J37+L37-M37-O37</f>
        <v>0</v>
      </c>
      <c r="O37" s="73">
        <f>G37+H37+I37+J37-L37-M37</f>
        <v>0</v>
      </c>
      <c r="P37" s="24"/>
      <c r="Q37" s="41"/>
      <c r="R37" s="42"/>
      <c r="S37" s="42"/>
      <c r="T37" s="45"/>
      <c r="U37" s="26"/>
      <c r="V37" s="42"/>
      <c r="W37" s="15"/>
      <c r="X37" s="42"/>
    </row>
    <row r="38" spans="1:25" s="21" customFormat="1" hidden="1" outlineLevel="1">
      <c r="A38" s="21" t="s">
        <v>5</v>
      </c>
      <c r="B38" s="20"/>
      <c r="C38" s="20"/>
      <c r="D38" s="64"/>
      <c r="E38" s="66"/>
      <c r="F38" s="65"/>
      <c r="G38" s="23">
        <f t="shared" si="0"/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3">
        <f t="shared" si="2"/>
        <v>0</v>
      </c>
      <c r="N38" s="23">
        <f>H38+I38+J38+L38-M38-O38</f>
        <v>0</v>
      </c>
      <c r="O38" s="73">
        <f>G38+H38+I38+J38-L38-M38</f>
        <v>0</v>
      </c>
      <c r="P38" s="24"/>
      <c r="Q38" s="41"/>
      <c r="R38" s="42"/>
      <c r="S38" s="42"/>
      <c r="T38" s="45"/>
      <c r="U38" s="26"/>
      <c r="V38" s="42"/>
      <c r="W38" s="15"/>
      <c r="X38" s="42"/>
    </row>
    <row r="39" spans="1:25" s="21" customFormat="1" hidden="1" outlineLevel="1">
      <c r="A39" s="21" t="s">
        <v>5</v>
      </c>
      <c r="B39" s="20"/>
      <c r="C39" s="20"/>
      <c r="D39" s="64"/>
      <c r="E39" s="66"/>
      <c r="F39" s="65"/>
      <c r="G39" s="23">
        <f t="shared" si="0"/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3">
        <f t="shared" si="2"/>
        <v>0</v>
      </c>
      <c r="N39" s="23">
        <f>H39+I39+J39+L39-M39-O39</f>
        <v>0</v>
      </c>
      <c r="O39" s="73">
        <f>G39+H39+I39+J39-L39-M39</f>
        <v>0</v>
      </c>
      <c r="P39" s="24"/>
      <c r="Q39" s="41"/>
      <c r="R39" s="42"/>
      <c r="S39" s="42"/>
      <c r="T39" s="45"/>
      <c r="U39" s="26"/>
      <c r="V39" s="42"/>
      <c r="W39" s="15"/>
      <c r="X39" s="42"/>
    </row>
    <row r="40" spans="1:25" s="21" customFormat="1" collapsed="1">
      <c r="B40" s="20"/>
      <c r="C40" s="20"/>
      <c r="D40" s="64"/>
      <c r="E40" s="66"/>
      <c r="F40" s="65"/>
      <c r="G40" s="23"/>
      <c r="H40" s="22"/>
      <c r="I40" s="22"/>
      <c r="J40" s="22"/>
      <c r="K40" s="22"/>
      <c r="L40" s="22"/>
      <c r="M40" s="23"/>
      <c r="N40" s="23"/>
      <c r="O40" s="73"/>
      <c r="P40" s="24"/>
      <c r="Q40" s="41"/>
      <c r="R40" s="42"/>
      <c r="S40" s="42"/>
      <c r="T40" s="45"/>
      <c r="U40" s="42"/>
      <c r="V40" s="42"/>
      <c r="W40" s="15"/>
      <c r="X40" s="42"/>
    </row>
    <row r="41" spans="1:25" s="21" customFormat="1">
      <c r="A41" s="21" t="s">
        <v>6</v>
      </c>
      <c r="B41" s="20"/>
      <c r="C41" s="20"/>
      <c r="D41" s="64"/>
      <c r="E41" s="66"/>
      <c r="F41" s="65"/>
      <c r="G41" s="23">
        <f>ROUND(E41*F41,0)</f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3">
        <f t="shared" si="2"/>
        <v>0</v>
      </c>
      <c r="N41" s="23">
        <v>0</v>
      </c>
      <c r="O41" s="73">
        <v>0</v>
      </c>
      <c r="P41" s="24"/>
      <c r="Q41" s="41"/>
      <c r="R41" s="42"/>
      <c r="S41" s="42"/>
      <c r="T41" s="45"/>
      <c r="U41" s="42"/>
      <c r="V41" s="42"/>
      <c r="W41" s="26"/>
      <c r="X41" s="42"/>
      <c r="Y41" s="3"/>
    </row>
    <row r="42" spans="1:25" s="21" customFormat="1" hidden="1" outlineLevel="1">
      <c r="A42" s="21" t="s">
        <v>6</v>
      </c>
      <c r="B42" s="20"/>
      <c r="C42" s="20"/>
      <c r="D42" s="64"/>
      <c r="E42" s="66"/>
      <c r="F42" s="65"/>
      <c r="G42" s="23">
        <f t="shared" si="0"/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3">
        <f t="shared" si="2"/>
        <v>0</v>
      </c>
      <c r="N42" s="23">
        <f>H42+I42+J42+L42-M42-O42</f>
        <v>0</v>
      </c>
      <c r="O42" s="73">
        <f>G42+H42+I42+J42-L42-M42</f>
        <v>0</v>
      </c>
      <c r="P42" s="24"/>
      <c r="Q42" s="41"/>
      <c r="R42" s="42"/>
      <c r="S42" s="42"/>
      <c r="T42" s="45"/>
      <c r="U42" s="26"/>
      <c r="V42" s="42"/>
      <c r="W42" s="15"/>
      <c r="X42" s="42"/>
    </row>
    <row r="43" spans="1:25" s="21" customFormat="1" hidden="1" outlineLevel="1">
      <c r="A43" s="21" t="s">
        <v>6</v>
      </c>
      <c r="B43" s="20"/>
      <c r="C43" s="20"/>
      <c r="D43" s="64"/>
      <c r="E43" s="66"/>
      <c r="F43" s="65"/>
      <c r="G43" s="23">
        <f t="shared" si="0"/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3">
        <f t="shared" si="2"/>
        <v>0</v>
      </c>
      <c r="N43" s="23">
        <f>H43+I43+J43+L43-M43-O43</f>
        <v>0</v>
      </c>
      <c r="O43" s="73">
        <f>G43+H43+I43+J43-L43-M43</f>
        <v>0</v>
      </c>
      <c r="P43" s="24"/>
      <c r="Q43" s="41"/>
      <c r="R43" s="42"/>
      <c r="S43" s="42"/>
      <c r="T43" s="45"/>
      <c r="U43" s="26"/>
      <c r="V43" s="42"/>
      <c r="W43" s="15"/>
      <c r="X43" s="42"/>
    </row>
    <row r="44" spans="1:25" s="21" customFormat="1" hidden="1" outlineLevel="1">
      <c r="A44" s="21" t="s">
        <v>6</v>
      </c>
      <c r="B44" s="20"/>
      <c r="C44" s="20"/>
      <c r="D44" s="64"/>
      <c r="E44" s="66"/>
      <c r="F44" s="65"/>
      <c r="G44" s="23">
        <f t="shared" si="0"/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3">
        <f t="shared" si="2"/>
        <v>0</v>
      </c>
      <c r="N44" s="23">
        <f>H44+I44+J44+L44-M44-O44</f>
        <v>0</v>
      </c>
      <c r="O44" s="73">
        <f>G44+H44+I44+J44-L44-M44</f>
        <v>0</v>
      </c>
      <c r="P44" s="24"/>
      <c r="Q44" s="41"/>
      <c r="R44" s="42"/>
      <c r="S44" s="42"/>
      <c r="T44" s="45"/>
      <c r="U44" s="26"/>
      <c r="V44" s="42"/>
      <c r="W44" s="15"/>
      <c r="X44" s="42"/>
    </row>
    <row r="45" spans="1:25" s="21" customFormat="1" hidden="1" outlineLevel="1">
      <c r="A45" s="21" t="s">
        <v>6</v>
      </c>
      <c r="B45" s="20"/>
      <c r="C45" s="20"/>
      <c r="D45" s="64"/>
      <c r="E45" s="66"/>
      <c r="F45" s="65"/>
      <c r="G45" s="23">
        <f t="shared" si="0"/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3">
        <f t="shared" si="2"/>
        <v>0</v>
      </c>
      <c r="N45" s="23">
        <f>H45+I45+J45+L45-M45-O45</f>
        <v>0</v>
      </c>
      <c r="O45" s="73">
        <f>G45+H45+I45+J45-L45-M45</f>
        <v>0</v>
      </c>
      <c r="P45" s="24"/>
      <c r="Q45" s="41"/>
      <c r="R45" s="42"/>
      <c r="S45" s="42"/>
      <c r="T45" s="45"/>
      <c r="U45" s="26"/>
      <c r="V45" s="42"/>
      <c r="W45" s="15"/>
      <c r="X45" s="42"/>
    </row>
    <row r="46" spans="1:25" s="21" customFormat="1" collapsed="1">
      <c r="B46" s="20"/>
      <c r="C46" s="20"/>
      <c r="D46" s="64"/>
      <c r="E46" s="66"/>
      <c r="F46" s="65"/>
      <c r="G46" s="23"/>
      <c r="H46" s="22"/>
      <c r="I46" s="22"/>
      <c r="J46" s="22"/>
      <c r="K46" s="22"/>
      <c r="L46" s="22"/>
      <c r="M46" s="23"/>
      <c r="N46" s="23"/>
      <c r="O46" s="73"/>
      <c r="P46" s="24"/>
      <c r="Q46" s="41"/>
      <c r="R46" s="25"/>
      <c r="S46" s="43"/>
      <c r="T46" s="41"/>
      <c r="U46" s="25"/>
      <c r="V46" s="25"/>
      <c r="W46" s="15"/>
      <c r="X46" s="25"/>
    </row>
    <row r="47" spans="1:25" s="21" customFormat="1">
      <c r="A47" s="21" t="s">
        <v>7</v>
      </c>
      <c r="B47" s="20"/>
      <c r="C47" s="20"/>
      <c r="D47" s="64"/>
      <c r="E47" s="66"/>
      <c r="F47" s="65"/>
      <c r="G47" s="23">
        <f>ROUND(E47*F47,0)</f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3">
        <f t="shared" si="2"/>
        <v>0</v>
      </c>
      <c r="N47" s="23">
        <v>0</v>
      </c>
      <c r="O47" s="73">
        <v>0</v>
      </c>
      <c r="P47" s="24"/>
      <c r="Q47" s="41"/>
      <c r="R47" s="42"/>
      <c r="S47" s="42"/>
      <c r="T47" s="45"/>
      <c r="U47" s="42"/>
      <c r="V47" s="42"/>
      <c r="W47" s="26"/>
      <c r="X47" s="42"/>
      <c r="Y47" s="3"/>
    </row>
    <row r="48" spans="1:25" s="21" customFormat="1" hidden="1" outlineLevel="1">
      <c r="A48" s="21" t="s">
        <v>7</v>
      </c>
      <c r="B48" s="20"/>
      <c r="C48" s="20"/>
      <c r="D48" s="64"/>
      <c r="E48" s="66"/>
      <c r="F48" s="65"/>
      <c r="G48" s="23">
        <f t="shared" si="0"/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3">
        <f t="shared" si="2"/>
        <v>0</v>
      </c>
      <c r="N48" s="23">
        <f>H48+I48+J48+L48-M48-O48</f>
        <v>0</v>
      </c>
      <c r="O48" s="73">
        <f>G48+H48+I48+J48-L48-M48</f>
        <v>0</v>
      </c>
      <c r="P48" s="24"/>
      <c r="Q48" s="41"/>
      <c r="R48" s="42"/>
      <c r="S48" s="42"/>
      <c r="T48" s="45"/>
      <c r="U48" s="26"/>
      <c r="V48" s="42"/>
      <c r="W48" s="15"/>
      <c r="X48" s="42"/>
    </row>
    <row r="49" spans="1:25" s="21" customFormat="1" hidden="1" outlineLevel="1">
      <c r="A49" s="21" t="s">
        <v>7</v>
      </c>
      <c r="B49" s="20"/>
      <c r="C49" s="20"/>
      <c r="D49" s="64"/>
      <c r="E49" s="66"/>
      <c r="F49" s="65"/>
      <c r="G49" s="23">
        <f t="shared" si="0"/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3">
        <f t="shared" si="2"/>
        <v>0</v>
      </c>
      <c r="N49" s="23">
        <f>H49+I49+J49+L49-M49-O49</f>
        <v>0</v>
      </c>
      <c r="O49" s="73">
        <f>G49+H49+I49+J49-L49-M49</f>
        <v>0</v>
      </c>
      <c r="P49" s="24"/>
      <c r="Q49" s="41"/>
      <c r="R49" s="42"/>
      <c r="S49" s="42"/>
      <c r="T49" s="45"/>
      <c r="U49" s="26"/>
      <c r="V49" s="42"/>
      <c r="W49" s="15"/>
      <c r="X49" s="42"/>
    </row>
    <row r="50" spans="1:25" s="21" customFormat="1" hidden="1" outlineLevel="1">
      <c r="A50" s="21" t="s">
        <v>7</v>
      </c>
      <c r="B50" s="20"/>
      <c r="C50" s="20"/>
      <c r="D50" s="64"/>
      <c r="E50" s="66"/>
      <c r="F50" s="65"/>
      <c r="G50" s="23">
        <f t="shared" si="0"/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3">
        <f t="shared" si="2"/>
        <v>0</v>
      </c>
      <c r="N50" s="23">
        <f>H50+I50+J50+L50-M50-O50</f>
        <v>0</v>
      </c>
      <c r="O50" s="73">
        <f>G50+H50+I50+J50-L50-M50</f>
        <v>0</v>
      </c>
      <c r="P50" s="24"/>
      <c r="Q50" s="41"/>
      <c r="R50" s="42"/>
      <c r="S50" s="42"/>
      <c r="T50" s="45"/>
      <c r="U50" s="26"/>
      <c r="V50" s="42"/>
      <c r="W50" s="15"/>
      <c r="X50" s="42"/>
    </row>
    <row r="51" spans="1:25" s="21" customFormat="1" hidden="1" outlineLevel="1">
      <c r="A51" s="21" t="s">
        <v>7</v>
      </c>
      <c r="B51" s="20"/>
      <c r="C51" s="20"/>
      <c r="D51" s="64"/>
      <c r="E51" s="66"/>
      <c r="F51" s="65"/>
      <c r="G51" s="23">
        <f t="shared" si="0"/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3">
        <f t="shared" si="2"/>
        <v>0</v>
      </c>
      <c r="N51" s="23">
        <f>H51+I51+J51+L51-M51-O51</f>
        <v>0</v>
      </c>
      <c r="O51" s="73">
        <f>G51+H51+I51+J51-L51-M51</f>
        <v>0</v>
      </c>
      <c r="P51" s="24"/>
      <c r="Q51" s="41"/>
      <c r="R51" s="42"/>
      <c r="S51" s="42"/>
      <c r="T51" s="45"/>
      <c r="U51" s="26"/>
      <c r="V51" s="42"/>
      <c r="W51" s="15"/>
      <c r="X51" s="42"/>
    </row>
    <row r="52" spans="1:25" s="21" customFormat="1" collapsed="1">
      <c r="B52" s="20"/>
      <c r="C52" s="20"/>
      <c r="D52" s="64"/>
      <c r="E52" s="66"/>
      <c r="F52" s="65"/>
      <c r="G52" s="23"/>
      <c r="H52" s="22"/>
      <c r="I52" s="22"/>
      <c r="J52" s="22"/>
      <c r="K52" s="22"/>
      <c r="L52" s="22"/>
      <c r="M52" s="23"/>
      <c r="N52" s="23"/>
      <c r="O52" s="73"/>
      <c r="P52" s="24"/>
      <c r="Q52" s="41"/>
      <c r="R52" s="42"/>
      <c r="S52" s="42"/>
      <c r="T52" s="45"/>
      <c r="U52" s="42"/>
      <c r="V52" s="42"/>
      <c r="W52" s="15"/>
      <c r="X52" s="42"/>
    </row>
    <row r="53" spans="1:25" s="21" customFormat="1">
      <c r="A53" s="21" t="s">
        <v>8</v>
      </c>
      <c r="B53" s="20"/>
      <c r="C53" s="20"/>
      <c r="D53" s="64"/>
      <c r="E53" s="66"/>
      <c r="F53" s="65"/>
      <c r="G53" s="23">
        <f>ROUND(E53*F53,0)</f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3">
        <f t="shared" si="2"/>
        <v>0</v>
      </c>
      <c r="N53" s="23">
        <v>0</v>
      </c>
      <c r="O53" s="73">
        <v>0</v>
      </c>
      <c r="P53" s="24"/>
      <c r="Q53" s="41"/>
      <c r="R53" s="42"/>
      <c r="S53" s="42"/>
      <c r="T53" s="45"/>
      <c r="U53" s="42"/>
      <c r="V53" s="42"/>
      <c r="W53" s="26"/>
      <c r="X53" s="42"/>
      <c r="Y53" s="3"/>
    </row>
    <row r="54" spans="1:25" s="21" customFormat="1" hidden="1" outlineLevel="1">
      <c r="A54" s="21" t="s">
        <v>8</v>
      </c>
      <c r="B54" s="20"/>
      <c r="C54" s="20"/>
      <c r="D54" s="64"/>
      <c r="E54" s="66"/>
      <c r="F54" s="65"/>
      <c r="G54" s="23">
        <f t="shared" si="0"/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3">
        <f t="shared" si="2"/>
        <v>0</v>
      </c>
      <c r="N54" s="23">
        <f>H54+I54+J54+L54-M54-O54</f>
        <v>0</v>
      </c>
      <c r="O54" s="73">
        <f>G54+H54+I54+J54-L54-M54</f>
        <v>0</v>
      </c>
      <c r="P54" s="24"/>
      <c r="Q54" s="41"/>
      <c r="R54" s="42"/>
      <c r="S54" s="42"/>
      <c r="T54" s="45"/>
      <c r="U54" s="26"/>
      <c r="V54" s="42"/>
      <c r="W54" s="15"/>
      <c r="X54" s="42"/>
    </row>
    <row r="55" spans="1:25" s="21" customFormat="1" hidden="1" outlineLevel="1">
      <c r="A55" s="21" t="s">
        <v>8</v>
      </c>
      <c r="B55" s="20"/>
      <c r="C55" s="20"/>
      <c r="D55" s="64"/>
      <c r="E55" s="66"/>
      <c r="F55" s="65"/>
      <c r="G55" s="23">
        <f t="shared" si="0"/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3">
        <f t="shared" si="2"/>
        <v>0</v>
      </c>
      <c r="N55" s="23">
        <f>H55+I55+J55+L55-M55-O55</f>
        <v>0</v>
      </c>
      <c r="O55" s="73">
        <f>G55+H55+I55+J55-L55-M55</f>
        <v>0</v>
      </c>
      <c r="P55" s="24"/>
      <c r="Q55" s="41"/>
      <c r="R55" s="42"/>
      <c r="S55" s="42"/>
      <c r="T55" s="45"/>
      <c r="U55" s="26"/>
      <c r="V55" s="42"/>
      <c r="W55" s="15"/>
      <c r="X55" s="42"/>
    </row>
    <row r="56" spans="1:25" s="21" customFormat="1" hidden="1" outlineLevel="1">
      <c r="A56" s="21" t="s">
        <v>8</v>
      </c>
      <c r="B56" s="20"/>
      <c r="C56" s="20"/>
      <c r="D56" s="64"/>
      <c r="E56" s="66"/>
      <c r="F56" s="65"/>
      <c r="G56" s="23">
        <f t="shared" si="0"/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f t="shared" si="2"/>
        <v>0</v>
      </c>
      <c r="N56" s="23">
        <f>H56+I56+J56+L56-M56-O56</f>
        <v>0</v>
      </c>
      <c r="O56" s="73">
        <f>G56+H56+I56+J56-L56-M56</f>
        <v>0</v>
      </c>
      <c r="P56" s="24"/>
      <c r="Q56" s="41"/>
      <c r="R56" s="42"/>
      <c r="S56" s="42"/>
      <c r="T56" s="45"/>
      <c r="U56" s="26"/>
      <c r="V56" s="42"/>
      <c r="W56" s="15"/>
      <c r="X56" s="42"/>
    </row>
    <row r="57" spans="1:25" s="21" customFormat="1" hidden="1" outlineLevel="1">
      <c r="A57" s="21" t="s">
        <v>8</v>
      </c>
      <c r="B57" s="20"/>
      <c r="C57" s="20"/>
      <c r="D57" s="64"/>
      <c r="E57" s="66"/>
      <c r="F57" s="65"/>
      <c r="G57" s="23">
        <f t="shared" si="0"/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3">
        <f t="shared" si="2"/>
        <v>0</v>
      </c>
      <c r="N57" s="23">
        <f>H57+I57+J57+L57-M57-O57</f>
        <v>0</v>
      </c>
      <c r="O57" s="73">
        <f>G57+H57+I57+J57-L57-M57</f>
        <v>0</v>
      </c>
      <c r="P57" s="24"/>
      <c r="Q57" s="41"/>
      <c r="R57" s="42"/>
      <c r="S57" s="42"/>
      <c r="T57" s="45"/>
      <c r="U57" s="26"/>
      <c r="V57" s="42"/>
      <c r="W57" s="15"/>
      <c r="X57" s="42"/>
    </row>
    <row r="58" spans="1:25" s="21" customFormat="1" collapsed="1">
      <c r="B58" s="20"/>
      <c r="C58" s="20"/>
      <c r="D58" s="64"/>
      <c r="E58" s="66"/>
      <c r="F58" s="65"/>
      <c r="G58" s="23"/>
      <c r="H58" s="22"/>
      <c r="I58" s="22"/>
      <c r="J58" s="22"/>
      <c r="K58" s="22"/>
      <c r="L58" s="22"/>
      <c r="M58" s="23"/>
      <c r="N58" s="23"/>
      <c r="O58" s="73"/>
      <c r="P58" s="24"/>
      <c r="Q58" s="41"/>
      <c r="R58" s="42"/>
      <c r="S58" s="42"/>
      <c r="T58" s="45"/>
      <c r="U58" s="42"/>
      <c r="V58" s="42"/>
      <c r="W58" s="15"/>
      <c r="X58" s="42"/>
    </row>
    <row r="59" spans="1:25" s="21" customFormat="1">
      <c r="A59" s="21" t="s">
        <v>9</v>
      </c>
      <c r="B59" s="20"/>
      <c r="C59" s="20"/>
      <c r="D59" s="64"/>
      <c r="E59" s="66"/>
      <c r="F59" s="65"/>
      <c r="G59" s="23">
        <f>ROUND(E59*F59,0)</f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3">
        <f t="shared" si="2"/>
        <v>0</v>
      </c>
      <c r="N59" s="23">
        <v>0</v>
      </c>
      <c r="O59" s="73">
        <v>0</v>
      </c>
      <c r="P59" s="24"/>
      <c r="Q59" s="41"/>
      <c r="R59" s="42"/>
      <c r="S59" s="42"/>
      <c r="T59" s="45"/>
      <c r="U59" s="42"/>
      <c r="V59" s="42"/>
      <c r="W59" s="26"/>
      <c r="X59" s="42"/>
      <c r="Y59" s="3"/>
    </row>
    <row r="60" spans="1:25" s="21" customFormat="1" hidden="1" outlineLevel="1">
      <c r="A60" s="21" t="s">
        <v>9</v>
      </c>
      <c r="B60" s="20"/>
      <c r="C60" s="20"/>
      <c r="D60" s="64"/>
      <c r="E60" s="66"/>
      <c r="F60" s="65"/>
      <c r="G60" s="23">
        <f t="shared" si="0"/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3">
        <f t="shared" si="2"/>
        <v>0</v>
      </c>
      <c r="N60" s="23">
        <f>H60+I60+J60+L60-M60-O60</f>
        <v>0</v>
      </c>
      <c r="O60" s="73">
        <f>G60+H60+I60+J60-L60-M60</f>
        <v>0</v>
      </c>
      <c r="P60" s="24"/>
      <c r="Q60" s="41"/>
      <c r="R60" s="42"/>
      <c r="S60" s="42"/>
      <c r="T60" s="45"/>
      <c r="U60" s="26"/>
      <c r="V60" s="42"/>
      <c r="W60" s="15"/>
      <c r="X60" s="42"/>
    </row>
    <row r="61" spans="1:25" s="21" customFormat="1" hidden="1" outlineLevel="1">
      <c r="A61" s="21" t="s">
        <v>9</v>
      </c>
      <c r="B61" s="20"/>
      <c r="C61" s="20"/>
      <c r="D61" s="64"/>
      <c r="E61" s="66"/>
      <c r="F61" s="65"/>
      <c r="G61" s="23">
        <f t="shared" si="0"/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3">
        <f t="shared" si="2"/>
        <v>0</v>
      </c>
      <c r="N61" s="23">
        <f>H61+I61+J61+L61-M61-O61</f>
        <v>0</v>
      </c>
      <c r="O61" s="73">
        <f>G61+H61+I61+J61-L61-M61</f>
        <v>0</v>
      </c>
      <c r="P61" s="24"/>
      <c r="Q61" s="41"/>
      <c r="R61" s="42"/>
      <c r="S61" s="42"/>
      <c r="T61" s="45"/>
      <c r="U61" s="26"/>
      <c r="V61" s="42"/>
      <c r="W61" s="15"/>
      <c r="X61" s="42"/>
    </row>
    <row r="62" spans="1:25" s="21" customFormat="1" hidden="1" outlineLevel="1">
      <c r="A62" s="21" t="s">
        <v>9</v>
      </c>
      <c r="B62" s="20"/>
      <c r="C62" s="20"/>
      <c r="D62" s="64"/>
      <c r="E62" s="66"/>
      <c r="F62" s="65"/>
      <c r="G62" s="23">
        <f t="shared" si="0"/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3">
        <f t="shared" si="2"/>
        <v>0</v>
      </c>
      <c r="N62" s="23">
        <f>H62+I62+J62+L62-M62-O62</f>
        <v>0</v>
      </c>
      <c r="O62" s="73">
        <f>G62+H62+I62+J62-L62-M62</f>
        <v>0</v>
      </c>
      <c r="P62" s="24"/>
      <c r="Q62" s="41"/>
      <c r="R62" s="42"/>
      <c r="S62" s="42"/>
      <c r="T62" s="45"/>
      <c r="U62" s="26"/>
      <c r="V62" s="42"/>
      <c r="W62" s="15"/>
      <c r="X62" s="42"/>
    </row>
    <row r="63" spans="1:25" s="21" customFormat="1" hidden="1" outlineLevel="1">
      <c r="A63" s="21" t="s">
        <v>9</v>
      </c>
      <c r="B63" s="20"/>
      <c r="C63" s="20"/>
      <c r="D63" s="64"/>
      <c r="E63" s="66"/>
      <c r="F63" s="65"/>
      <c r="G63" s="23">
        <f t="shared" si="0"/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3">
        <f t="shared" si="2"/>
        <v>0</v>
      </c>
      <c r="N63" s="23">
        <f>H63+I63+J63+L63-M63-O63</f>
        <v>0</v>
      </c>
      <c r="O63" s="73">
        <f>G63+H63+I63+J63-L63-M63</f>
        <v>0</v>
      </c>
      <c r="P63" s="24"/>
      <c r="Q63" s="41"/>
      <c r="R63" s="42"/>
      <c r="S63" s="42"/>
      <c r="T63" s="45"/>
      <c r="U63" s="26"/>
      <c r="V63" s="42"/>
      <c r="W63" s="15"/>
      <c r="X63" s="42"/>
    </row>
    <row r="64" spans="1:25" s="21" customFormat="1" collapsed="1">
      <c r="B64" s="20"/>
      <c r="C64" s="20"/>
      <c r="D64" s="64"/>
      <c r="E64" s="66"/>
      <c r="F64" s="65"/>
      <c r="G64" s="23"/>
      <c r="H64" s="22"/>
      <c r="I64" s="22"/>
      <c r="J64" s="22"/>
      <c r="K64" s="22"/>
      <c r="L64" s="22"/>
      <c r="M64" s="23"/>
      <c r="N64" s="23"/>
      <c r="O64" s="73"/>
      <c r="P64" s="24"/>
      <c r="Q64" s="41"/>
      <c r="R64" s="42"/>
      <c r="S64" s="42"/>
      <c r="T64" s="45"/>
      <c r="U64" s="42"/>
      <c r="V64" s="42"/>
      <c r="W64" s="15"/>
      <c r="X64" s="42"/>
    </row>
    <row r="65" spans="1:25" s="21" customFormat="1">
      <c r="A65" s="21" t="s">
        <v>10</v>
      </c>
      <c r="B65" s="20"/>
      <c r="C65" s="20"/>
      <c r="D65" s="64"/>
      <c r="E65" s="66"/>
      <c r="F65" s="65"/>
      <c r="G65" s="23">
        <f>ROUND(E65*F65,0)</f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3">
        <f t="shared" si="2"/>
        <v>0</v>
      </c>
      <c r="N65" s="23">
        <v>0</v>
      </c>
      <c r="O65" s="73">
        <v>0</v>
      </c>
      <c r="P65" s="24"/>
      <c r="Q65" s="41"/>
      <c r="R65" s="42"/>
      <c r="S65" s="42"/>
      <c r="T65" s="45"/>
      <c r="U65" s="42"/>
      <c r="V65" s="42"/>
      <c r="W65" s="26"/>
      <c r="X65" s="42"/>
      <c r="Y65" s="3"/>
    </row>
    <row r="66" spans="1:25" s="21" customFormat="1" hidden="1" outlineLevel="1">
      <c r="A66" s="21" t="s">
        <v>10</v>
      </c>
      <c r="B66" s="20"/>
      <c r="C66" s="20"/>
      <c r="D66" s="64"/>
      <c r="E66" s="66"/>
      <c r="F66" s="65"/>
      <c r="G66" s="23">
        <f t="shared" si="0"/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3">
        <f t="shared" si="2"/>
        <v>0</v>
      </c>
      <c r="N66" s="23">
        <f>H66+I66+J66+L66-M66-O66</f>
        <v>0</v>
      </c>
      <c r="O66" s="73">
        <f>G66+H66+I66+J66-L66-M66</f>
        <v>0</v>
      </c>
      <c r="P66" s="24"/>
      <c r="Q66" s="41"/>
      <c r="R66" s="42"/>
      <c r="S66" s="42"/>
      <c r="T66" s="45"/>
      <c r="U66" s="26"/>
      <c r="V66" s="42"/>
      <c r="W66" s="15"/>
      <c r="X66" s="42"/>
    </row>
    <row r="67" spans="1:25" s="21" customFormat="1" hidden="1" outlineLevel="1">
      <c r="A67" s="21" t="s">
        <v>10</v>
      </c>
      <c r="B67" s="20"/>
      <c r="C67" s="20"/>
      <c r="D67" s="64"/>
      <c r="E67" s="66"/>
      <c r="F67" s="65"/>
      <c r="G67" s="23">
        <f t="shared" si="0"/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3">
        <f t="shared" si="2"/>
        <v>0</v>
      </c>
      <c r="N67" s="23">
        <f>H67+I67+J67+L67-M67-O67</f>
        <v>0</v>
      </c>
      <c r="O67" s="73">
        <f>G67+H67+I67+J67-L67-M67</f>
        <v>0</v>
      </c>
      <c r="P67" s="24"/>
      <c r="Q67" s="41"/>
      <c r="R67" s="42"/>
      <c r="S67" s="42"/>
      <c r="T67" s="45"/>
      <c r="U67" s="26"/>
      <c r="V67" s="42"/>
      <c r="W67" s="15"/>
      <c r="X67" s="42"/>
    </row>
    <row r="68" spans="1:25" s="21" customFormat="1" hidden="1" outlineLevel="1">
      <c r="A68" s="21" t="s">
        <v>10</v>
      </c>
      <c r="B68" s="20"/>
      <c r="C68" s="20"/>
      <c r="D68" s="64"/>
      <c r="E68" s="66"/>
      <c r="F68" s="65"/>
      <c r="G68" s="23">
        <f t="shared" si="0"/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3">
        <f t="shared" si="2"/>
        <v>0</v>
      </c>
      <c r="N68" s="23">
        <f>H68+I68+J68+L68-M68-O68</f>
        <v>0</v>
      </c>
      <c r="O68" s="73">
        <f>G68+H68+I68+J68-L68-M68</f>
        <v>0</v>
      </c>
      <c r="P68" s="24"/>
      <c r="Q68" s="41"/>
      <c r="R68" s="42"/>
      <c r="S68" s="42"/>
      <c r="T68" s="45"/>
      <c r="U68" s="26"/>
      <c r="V68" s="42"/>
      <c r="W68" s="15"/>
      <c r="X68" s="42"/>
    </row>
    <row r="69" spans="1:25" s="21" customFormat="1" hidden="1" outlineLevel="1">
      <c r="A69" s="21" t="s">
        <v>10</v>
      </c>
      <c r="B69" s="20"/>
      <c r="C69" s="20"/>
      <c r="D69" s="64"/>
      <c r="E69" s="66"/>
      <c r="F69" s="65"/>
      <c r="G69" s="23">
        <f t="shared" si="0"/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3">
        <f t="shared" si="2"/>
        <v>0</v>
      </c>
      <c r="N69" s="23">
        <f>H69+I69+J69+L69-M69-O69</f>
        <v>0</v>
      </c>
      <c r="O69" s="73">
        <f>G69+H69+I69+J69-L69-M69</f>
        <v>0</v>
      </c>
      <c r="P69" s="24"/>
      <c r="Q69" s="41"/>
      <c r="R69" s="42"/>
      <c r="S69" s="42"/>
      <c r="T69" s="45"/>
      <c r="U69" s="26"/>
      <c r="V69" s="42"/>
      <c r="W69" s="15"/>
      <c r="X69" s="42"/>
    </row>
    <row r="70" spans="1:25" s="21" customFormat="1" collapsed="1">
      <c r="B70" s="20"/>
      <c r="C70" s="20"/>
      <c r="D70" s="64"/>
      <c r="E70" s="66"/>
      <c r="F70" s="65"/>
      <c r="G70" s="23"/>
      <c r="H70" s="22"/>
      <c r="I70" s="22"/>
      <c r="J70" s="22"/>
      <c r="K70" s="22"/>
      <c r="L70" s="22"/>
      <c r="M70" s="23"/>
      <c r="N70" s="23"/>
      <c r="O70" s="73"/>
      <c r="P70" s="24"/>
      <c r="Q70" s="41"/>
      <c r="R70" s="42"/>
      <c r="S70" s="42"/>
      <c r="T70" s="45"/>
      <c r="U70" s="42"/>
      <c r="V70" s="42"/>
      <c r="W70" s="15"/>
      <c r="X70" s="42"/>
    </row>
    <row r="71" spans="1:25" s="21" customFormat="1">
      <c r="A71" s="21" t="s">
        <v>11</v>
      </c>
      <c r="B71" s="20"/>
      <c r="C71" s="20"/>
      <c r="D71" s="64"/>
      <c r="E71" s="66"/>
      <c r="F71" s="65"/>
      <c r="G71" s="23">
        <f>ROUND(E71*F71,0)</f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3">
        <f t="shared" si="2"/>
        <v>0</v>
      </c>
      <c r="N71" s="23">
        <v>0</v>
      </c>
      <c r="O71" s="73">
        <v>0</v>
      </c>
      <c r="P71" s="24"/>
      <c r="Q71" s="41"/>
      <c r="R71" s="42"/>
      <c r="S71" s="42"/>
      <c r="T71" s="45"/>
      <c r="U71" s="42"/>
      <c r="V71" s="42"/>
      <c r="W71" s="26"/>
      <c r="X71" s="42"/>
      <c r="Y71" s="3"/>
    </row>
    <row r="72" spans="1:25" s="21" customFormat="1" hidden="1" outlineLevel="1">
      <c r="A72" s="21" t="s">
        <v>11</v>
      </c>
      <c r="B72" s="20"/>
      <c r="C72" s="20"/>
      <c r="D72" s="64"/>
      <c r="E72" s="22"/>
      <c r="F72" s="65"/>
      <c r="G72" s="23">
        <f t="shared" ref="G72:G75" si="3">E72*F72</f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3">
        <f t="shared" si="2"/>
        <v>0</v>
      </c>
      <c r="N72" s="23"/>
      <c r="O72" s="23"/>
      <c r="P72" s="24"/>
      <c r="Q72" s="41"/>
      <c r="R72" s="42"/>
      <c r="S72" s="42"/>
      <c r="T72" s="45"/>
      <c r="U72" s="26"/>
      <c r="V72" s="42"/>
      <c r="W72" s="15"/>
      <c r="X72" s="42"/>
    </row>
    <row r="73" spans="1:25" s="21" customFormat="1" hidden="1" outlineLevel="1">
      <c r="A73" s="21" t="s">
        <v>11</v>
      </c>
      <c r="B73" s="20"/>
      <c r="C73" s="20"/>
      <c r="D73" s="64"/>
      <c r="E73" s="22"/>
      <c r="F73" s="65"/>
      <c r="G73" s="23">
        <f t="shared" si="3"/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3">
        <f t="shared" si="2"/>
        <v>0</v>
      </c>
      <c r="N73" s="23"/>
      <c r="O73" s="23"/>
      <c r="P73" s="24"/>
      <c r="Q73" s="41"/>
      <c r="R73" s="42"/>
      <c r="S73" s="42"/>
      <c r="T73" s="45"/>
      <c r="U73" s="26"/>
      <c r="V73" s="42"/>
      <c r="W73" s="15"/>
      <c r="X73" s="42"/>
    </row>
    <row r="74" spans="1:25" s="21" customFormat="1" hidden="1" outlineLevel="1">
      <c r="A74" s="21" t="s">
        <v>11</v>
      </c>
      <c r="B74" s="20"/>
      <c r="C74" s="20"/>
      <c r="D74" s="64"/>
      <c r="E74" s="22"/>
      <c r="F74" s="65"/>
      <c r="G74" s="23">
        <f t="shared" si="3"/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3">
        <f t="shared" si="2"/>
        <v>0</v>
      </c>
      <c r="N74" s="23"/>
      <c r="O74" s="23"/>
      <c r="P74" s="24"/>
      <c r="Q74" s="41"/>
      <c r="R74" s="42"/>
      <c r="S74" s="42"/>
      <c r="T74" s="45"/>
      <c r="U74" s="26"/>
      <c r="V74" s="42"/>
      <c r="W74" s="15"/>
      <c r="X74" s="42"/>
    </row>
    <row r="75" spans="1:25" s="21" customFormat="1" hidden="1" outlineLevel="1">
      <c r="A75" s="21" t="s">
        <v>11</v>
      </c>
      <c r="B75" s="20"/>
      <c r="C75" s="20"/>
      <c r="D75" s="64"/>
      <c r="E75" s="22"/>
      <c r="F75" s="65"/>
      <c r="G75" s="23">
        <f t="shared" si="3"/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3">
        <f t="shared" si="2"/>
        <v>0</v>
      </c>
      <c r="N75" s="23"/>
      <c r="O75" s="23"/>
      <c r="P75" s="24"/>
      <c r="Q75" s="41"/>
      <c r="R75" s="42"/>
      <c r="S75" s="42"/>
      <c r="T75" s="45"/>
      <c r="U75" s="26"/>
      <c r="V75" s="42"/>
      <c r="W75" s="15"/>
      <c r="X75" s="42"/>
    </row>
    <row r="76" spans="1:25" s="21" customFormat="1" ht="12" collapsed="1" thickBot="1">
      <c r="B76" s="20"/>
      <c r="C76" s="20"/>
      <c r="D76" s="64"/>
      <c r="E76" s="22"/>
      <c r="F76" s="22"/>
      <c r="G76" s="22"/>
      <c r="H76" s="22"/>
      <c r="I76" s="22"/>
      <c r="J76" s="22"/>
      <c r="K76" s="22"/>
      <c r="L76" s="22"/>
      <c r="M76" s="23"/>
      <c r="N76" s="23"/>
      <c r="O76" s="23"/>
      <c r="P76" s="24"/>
      <c r="Q76" s="41"/>
      <c r="R76" s="43"/>
      <c r="S76" s="42"/>
      <c r="T76" s="45"/>
      <c r="U76" s="42"/>
      <c r="V76" s="42"/>
      <c r="W76" s="42"/>
      <c r="X76" s="42"/>
    </row>
    <row r="77" spans="1:25" s="21" customFormat="1" ht="12" thickTop="1">
      <c r="A77" s="27" t="s">
        <v>12</v>
      </c>
      <c r="B77" s="27"/>
      <c r="C77" s="27"/>
      <c r="D77" s="28"/>
      <c r="E77" s="47">
        <f t="shared" ref="E77:N77" si="4">SUM(E5:E76)</f>
        <v>0</v>
      </c>
      <c r="F77" s="70"/>
      <c r="G77" s="47">
        <f t="shared" si="4"/>
        <v>0</v>
      </c>
      <c r="H77" s="47">
        <f t="shared" si="4"/>
        <v>0</v>
      </c>
      <c r="I77" s="47">
        <f t="shared" si="4"/>
        <v>0</v>
      </c>
      <c r="J77" s="47">
        <f t="shared" si="4"/>
        <v>0</v>
      </c>
      <c r="K77" s="47">
        <f t="shared" ref="K77" si="5">SUM(K5:K76)</f>
        <v>0</v>
      </c>
      <c r="L77" s="47">
        <f t="shared" si="4"/>
        <v>0</v>
      </c>
      <c r="M77" s="47">
        <f t="shared" si="4"/>
        <v>0</v>
      </c>
      <c r="N77" s="47">
        <f t="shared" si="4"/>
        <v>0</v>
      </c>
      <c r="O77" s="47">
        <f>SUM(O5:O76)</f>
        <v>0</v>
      </c>
      <c r="P77" s="24"/>
      <c r="Q77" s="41"/>
      <c r="R77" s="43"/>
      <c r="S77" s="42"/>
      <c r="T77" s="41"/>
      <c r="U77" s="26"/>
      <c r="V77" s="42"/>
      <c r="W77" s="42"/>
      <c r="X77" s="42"/>
    </row>
    <row r="78" spans="1:25" s="21" customFormat="1" ht="12" thickBot="1">
      <c r="D78" s="30"/>
      <c r="E78" s="30"/>
      <c r="F78" s="30"/>
      <c r="G78" s="30"/>
      <c r="H78" s="30"/>
      <c r="I78" s="30"/>
      <c r="J78" s="30"/>
      <c r="K78" s="30"/>
      <c r="L78" s="38"/>
      <c r="M78" s="30"/>
      <c r="N78" s="30"/>
      <c r="O78" s="30"/>
      <c r="Q78" s="29"/>
      <c r="R78" s="25"/>
      <c r="S78" s="25"/>
      <c r="T78" s="29"/>
      <c r="U78" s="25"/>
      <c r="V78" s="25"/>
      <c r="W78" s="25"/>
      <c r="X78" s="25"/>
    </row>
    <row r="79" spans="1:25" s="21" customFormat="1" ht="12" thickTop="1">
      <c r="D79" s="28">
        <f>ROUND(E77*F77,0)</f>
        <v>0</v>
      </c>
      <c r="E79" s="28">
        <f>+D79-G77</f>
        <v>0</v>
      </c>
      <c r="F79" s="18"/>
      <c r="G79" s="30"/>
      <c r="H79" s="30"/>
      <c r="I79" s="30"/>
      <c r="J79" s="30"/>
      <c r="K79" s="30"/>
      <c r="L79" s="30"/>
      <c r="M79" s="30"/>
      <c r="N79" s="30"/>
      <c r="O79" s="28">
        <f>+M77-N77</f>
        <v>0</v>
      </c>
      <c r="Q79" s="29"/>
      <c r="R79" s="25"/>
      <c r="S79" s="25"/>
      <c r="T79" s="29"/>
      <c r="U79" s="25"/>
      <c r="V79" s="25"/>
      <c r="W79" s="25"/>
      <c r="X79" s="25"/>
    </row>
    <row r="80" spans="1:25" s="21" customFormat="1">
      <c r="F80" s="36"/>
      <c r="Q80" s="29"/>
      <c r="R80" s="25"/>
      <c r="S80" s="25"/>
      <c r="T80" s="29"/>
      <c r="U80" s="25"/>
      <c r="V80" s="25"/>
      <c r="W80" s="25"/>
      <c r="X80" s="25"/>
    </row>
    <row r="81" spans="1:24" s="21" customFormat="1">
      <c r="A81" s="33" t="s">
        <v>21</v>
      </c>
      <c r="B81" s="34"/>
      <c r="C81" s="34"/>
      <c r="D81" s="37"/>
      <c r="E81" s="37"/>
      <c r="F81" s="37"/>
      <c r="Q81" s="29"/>
      <c r="R81" s="25"/>
      <c r="S81" s="25"/>
      <c r="T81" s="29"/>
      <c r="U81" s="25"/>
      <c r="V81" s="25"/>
      <c r="W81" s="25"/>
      <c r="X81" s="25"/>
    </row>
    <row r="82" spans="1:24" s="21" customFormat="1">
      <c r="A82" s="35" t="s">
        <v>13</v>
      </c>
      <c r="B82" s="36" t="s">
        <v>22</v>
      </c>
      <c r="C82" s="36" t="s">
        <v>22</v>
      </c>
      <c r="D82" s="37"/>
      <c r="E82" s="37"/>
      <c r="F82" s="37"/>
      <c r="Q82" s="29"/>
      <c r="R82" s="25"/>
      <c r="S82" s="25"/>
      <c r="T82" s="29"/>
      <c r="U82" s="25"/>
      <c r="V82" s="25"/>
      <c r="W82" s="25"/>
      <c r="X82" s="25"/>
    </row>
    <row r="83" spans="1:24" s="21" customFormat="1">
      <c r="A83" s="35" t="s">
        <v>14</v>
      </c>
      <c r="B83" s="36" t="s">
        <v>23</v>
      </c>
      <c r="C83" s="36" t="s">
        <v>23</v>
      </c>
      <c r="F83" s="37"/>
      <c r="Q83" s="29"/>
      <c r="R83" s="25"/>
      <c r="S83" s="25"/>
      <c r="T83" s="29"/>
      <c r="U83" s="25"/>
      <c r="V83" s="25"/>
      <c r="W83" s="25"/>
      <c r="X83" s="25"/>
    </row>
    <row r="84" spans="1:24" s="21" customFormat="1">
      <c r="A84" s="34"/>
      <c r="B84" s="34"/>
      <c r="C84" s="34"/>
      <c r="F84" s="37"/>
      <c r="Q84" s="29"/>
      <c r="R84" s="25"/>
      <c r="S84" s="25"/>
      <c r="T84" s="29"/>
      <c r="U84" s="25"/>
      <c r="V84" s="25"/>
      <c r="W84" s="25"/>
      <c r="X84" s="25"/>
    </row>
    <row r="85" spans="1:24" s="21" customFormat="1">
      <c r="A85" s="33" t="s">
        <v>24</v>
      </c>
      <c r="B85" s="34"/>
      <c r="C85" s="34"/>
      <c r="F85" s="37"/>
      <c r="Q85" s="29"/>
      <c r="R85" s="25"/>
      <c r="S85" s="25"/>
      <c r="T85" s="29"/>
      <c r="U85" s="25"/>
      <c r="V85" s="25"/>
      <c r="W85" s="25"/>
      <c r="X85" s="25"/>
    </row>
    <row r="86" spans="1:24" s="21" customFormat="1">
      <c r="A86" s="35" t="s">
        <v>25</v>
      </c>
      <c r="B86" s="37" t="s">
        <v>26</v>
      </c>
      <c r="C86" s="37" t="s">
        <v>26</v>
      </c>
      <c r="D86" s="34"/>
      <c r="E86" s="34"/>
      <c r="F86" s="34"/>
      <c r="Q86" s="29"/>
      <c r="R86" s="25"/>
      <c r="S86" s="25"/>
      <c r="T86" s="29"/>
      <c r="U86" s="25"/>
      <c r="V86" s="25"/>
      <c r="W86" s="25"/>
      <c r="X86" s="25"/>
    </row>
    <row r="87" spans="1:24" s="21" customFormat="1">
      <c r="A87" s="35" t="s">
        <v>27</v>
      </c>
      <c r="B87" s="37" t="s">
        <v>28</v>
      </c>
      <c r="C87" s="37" t="s">
        <v>28</v>
      </c>
      <c r="D87" s="37"/>
      <c r="E87" s="37"/>
      <c r="F87" s="37"/>
      <c r="Q87" s="29"/>
      <c r="R87" s="25"/>
      <c r="S87" s="25"/>
      <c r="T87" s="29"/>
      <c r="U87" s="25"/>
      <c r="V87" s="25"/>
      <c r="W87" s="25"/>
      <c r="X87" s="25"/>
    </row>
    <row r="88" spans="1:24" s="21" customFormat="1">
      <c r="A88" s="35" t="s">
        <v>29</v>
      </c>
      <c r="B88" s="37" t="s">
        <v>30</v>
      </c>
      <c r="C88" s="37" t="s">
        <v>30</v>
      </c>
      <c r="Q88" s="29"/>
      <c r="R88" s="25"/>
      <c r="S88" s="25"/>
      <c r="T88" s="29"/>
      <c r="U88" s="25"/>
      <c r="V88" s="25"/>
      <c r="W88" s="25"/>
      <c r="X88" s="25"/>
    </row>
    <row r="89" spans="1:24" s="21" customFormat="1">
      <c r="A89" s="39"/>
      <c r="Q89" s="29"/>
      <c r="R89" s="25"/>
      <c r="S89" s="25"/>
      <c r="T89" s="29"/>
      <c r="U89" s="25"/>
      <c r="V89" s="25"/>
      <c r="W89" s="25"/>
      <c r="X89" s="25"/>
    </row>
    <row r="90" spans="1:24" s="21" customFormat="1">
      <c r="A90" s="39"/>
      <c r="Q90" s="29"/>
      <c r="R90" s="25"/>
      <c r="S90" s="25"/>
      <c r="T90" s="29"/>
      <c r="U90" s="25"/>
      <c r="V90" s="25"/>
      <c r="W90" s="25"/>
      <c r="X90" s="25"/>
    </row>
    <row r="91" spans="1:24" s="21" customFormat="1">
      <c r="A91" s="39"/>
      <c r="Q91" s="29"/>
      <c r="R91" s="25"/>
      <c r="S91" s="25"/>
      <c r="T91" s="29"/>
      <c r="U91" s="25"/>
      <c r="V91" s="25"/>
      <c r="W91" s="25"/>
      <c r="X91" s="25"/>
    </row>
    <row r="92" spans="1:24" s="21" customFormat="1">
      <c r="A92" s="39"/>
      <c r="Q92" s="29"/>
      <c r="R92" s="25"/>
      <c r="S92" s="25"/>
      <c r="T92" s="29"/>
      <c r="U92" s="25"/>
      <c r="V92" s="25"/>
      <c r="W92" s="25"/>
      <c r="X92" s="25"/>
    </row>
    <row r="93" spans="1:24" s="21" customFormat="1">
      <c r="A93" s="39"/>
      <c r="Q93" s="29"/>
      <c r="R93" s="25"/>
      <c r="S93" s="25"/>
      <c r="T93" s="29"/>
      <c r="U93" s="25"/>
      <c r="V93" s="25"/>
      <c r="W93" s="25"/>
      <c r="X93" s="25"/>
    </row>
    <row r="94" spans="1:24" s="21" customFormat="1">
      <c r="A94" s="39"/>
      <c r="Q94" s="29"/>
      <c r="R94" s="25"/>
      <c r="S94" s="25"/>
      <c r="T94" s="29"/>
      <c r="U94" s="25"/>
      <c r="V94" s="25"/>
      <c r="W94" s="25"/>
      <c r="X94" s="25"/>
    </row>
    <row r="95" spans="1:24" s="21" customFormat="1">
      <c r="A95" s="40"/>
      <c r="Q95" s="29"/>
      <c r="R95" s="25"/>
      <c r="S95" s="25"/>
      <c r="T95" s="29"/>
      <c r="U95" s="25"/>
      <c r="V95" s="25"/>
      <c r="W95" s="25"/>
      <c r="X95" s="25"/>
    </row>
    <row r="96" spans="1:24" s="21" customFormat="1">
      <c r="A96" s="39"/>
      <c r="Q96" s="29"/>
      <c r="R96" s="25"/>
      <c r="S96" s="25"/>
      <c r="T96" s="29"/>
      <c r="U96" s="25"/>
      <c r="V96" s="25"/>
      <c r="W96" s="25"/>
      <c r="X96" s="25"/>
    </row>
    <row r="97" spans="1:24" s="21" customFormat="1">
      <c r="A97" s="39"/>
      <c r="Q97" s="29"/>
      <c r="R97" s="25"/>
      <c r="S97" s="25"/>
      <c r="T97" s="29"/>
      <c r="U97" s="25"/>
      <c r="V97" s="25"/>
      <c r="W97" s="25"/>
      <c r="X97" s="25"/>
    </row>
    <row r="98" spans="1:24" s="11" customFormat="1">
      <c r="Q98" s="16"/>
      <c r="R98" s="19"/>
      <c r="S98" s="19"/>
      <c r="T98" s="16"/>
      <c r="U98" s="19"/>
      <c r="V98" s="19"/>
      <c r="W98" s="19"/>
      <c r="X98" s="19"/>
    </row>
    <row r="99" spans="1:24" ht="10">
      <c r="Q99" s="4"/>
      <c r="R99" s="5"/>
      <c r="S99" s="5"/>
      <c r="T99" s="4"/>
      <c r="U99" s="5"/>
      <c r="V99" s="5"/>
      <c r="W99" s="19"/>
      <c r="X99" s="5"/>
    </row>
    <row r="100" spans="1:24" ht="10">
      <c r="Q100" s="4"/>
      <c r="R100" s="5"/>
      <c r="S100" s="5"/>
      <c r="T100" s="4"/>
      <c r="U100" s="5"/>
      <c r="V100" s="5"/>
      <c r="W100" s="19"/>
      <c r="X100" s="5"/>
    </row>
    <row r="101" spans="1:24" ht="10">
      <c r="Q101" s="4"/>
      <c r="R101" s="5"/>
      <c r="S101" s="5"/>
      <c r="T101" s="4"/>
      <c r="U101" s="5"/>
      <c r="V101" s="5"/>
      <c r="W101" s="19"/>
      <c r="X101" s="5"/>
    </row>
    <row r="102" spans="1:24" ht="10">
      <c r="Q102" s="4"/>
      <c r="R102" s="5"/>
      <c r="S102" s="5"/>
      <c r="T102" s="4"/>
      <c r="U102" s="5"/>
      <c r="V102" s="5"/>
      <c r="W102" s="19"/>
      <c r="X102" s="5"/>
    </row>
    <row r="103" spans="1:24" ht="10">
      <c r="Q103" s="4"/>
      <c r="R103" s="5"/>
      <c r="S103" s="5"/>
      <c r="T103" s="4"/>
      <c r="U103" s="5"/>
      <c r="V103" s="5"/>
      <c r="W103" s="19"/>
      <c r="X103" s="5"/>
    </row>
    <row r="104" spans="1:24" ht="10">
      <c r="Q104" s="4"/>
      <c r="R104" s="5"/>
      <c r="S104" s="5"/>
      <c r="T104" s="4"/>
      <c r="U104" s="5"/>
      <c r="V104" s="5"/>
      <c r="W104" s="19"/>
      <c r="X104" s="5"/>
    </row>
    <row r="105" spans="1:24" ht="10">
      <c r="Q105" s="4"/>
      <c r="R105" s="5"/>
      <c r="S105" s="5"/>
      <c r="T105" s="4"/>
      <c r="U105" s="5"/>
      <c r="V105" s="5"/>
      <c r="W105" s="19"/>
      <c r="X105" s="5"/>
    </row>
    <row r="106" spans="1:24" ht="10">
      <c r="Q106" s="4"/>
      <c r="R106" s="5"/>
      <c r="S106" s="5"/>
      <c r="T106" s="4"/>
      <c r="U106" s="5"/>
      <c r="V106" s="5"/>
      <c r="W106" s="19"/>
      <c r="X106" s="5"/>
    </row>
    <row r="107" spans="1:24" ht="10">
      <c r="Q107" s="4"/>
      <c r="R107" s="5"/>
      <c r="S107" s="5"/>
      <c r="T107" s="4"/>
      <c r="U107" s="5"/>
      <c r="V107" s="5"/>
      <c r="W107" s="19"/>
      <c r="X107" s="5"/>
    </row>
    <row r="108" spans="1:24" ht="10">
      <c r="Q108" s="4"/>
      <c r="R108" s="5"/>
      <c r="S108" s="5"/>
      <c r="T108" s="4"/>
      <c r="U108" s="5"/>
      <c r="V108" s="5"/>
      <c r="W108" s="19"/>
      <c r="X108" s="5"/>
    </row>
    <row r="109" spans="1:24" ht="10">
      <c r="Q109" s="4"/>
      <c r="R109" s="5"/>
      <c r="S109" s="5"/>
      <c r="T109" s="4"/>
      <c r="U109" s="5"/>
      <c r="V109" s="5"/>
      <c r="W109" s="19"/>
      <c r="X109" s="5"/>
    </row>
    <row r="110" spans="1:24" ht="10">
      <c r="Q110" s="4"/>
      <c r="R110" s="5"/>
      <c r="S110" s="5"/>
      <c r="T110" s="4"/>
      <c r="U110" s="5"/>
      <c r="V110" s="5"/>
      <c r="W110" s="19"/>
      <c r="X110" s="5"/>
    </row>
    <row r="111" spans="1:24" ht="10">
      <c r="Q111" s="4"/>
      <c r="R111" s="5"/>
      <c r="S111" s="5"/>
      <c r="T111" s="4"/>
      <c r="U111" s="5"/>
      <c r="V111" s="5"/>
      <c r="W111" s="19"/>
      <c r="X111" s="5"/>
    </row>
    <row r="112" spans="1:24" ht="10">
      <c r="Q112" s="4"/>
      <c r="R112" s="5"/>
      <c r="S112" s="5"/>
      <c r="T112" s="4"/>
      <c r="U112" s="5"/>
      <c r="V112" s="5"/>
      <c r="W112" s="19"/>
      <c r="X112" s="5"/>
    </row>
    <row r="113" spans="17:24" ht="10">
      <c r="Q113" s="4"/>
      <c r="R113" s="5"/>
      <c r="S113" s="5"/>
      <c r="T113" s="4"/>
      <c r="U113" s="5"/>
      <c r="V113" s="5"/>
      <c r="W113" s="19"/>
      <c r="X113" s="5"/>
    </row>
    <row r="114" spans="17:24" ht="10">
      <c r="Q114" s="4"/>
      <c r="R114" s="5"/>
      <c r="S114" s="5"/>
      <c r="T114" s="4"/>
      <c r="U114" s="5"/>
      <c r="V114" s="5"/>
      <c r="W114" s="19"/>
      <c r="X114" s="5"/>
    </row>
    <row r="115" spans="17:24" ht="10">
      <c r="Q115" s="4"/>
      <c r="R115" s="5"/>
      <c r="S115" s="5"/>
      <c r="T115" s="4"/>
      <c r="U115" s="5"/>
      <c r="V115" s="5"/>
      <c r="W115" s="19"/>
      <c r="X115" s="5"/>
    </row>
    <row r="116" spans="17:24" ht="10">
      <c r="Q116" s="4"/>
      <c r="R116" s="5"/>
      <c r="S116" s="5"/>
      <c r="T116" s="4"/>
      <c r="U116" s="5"/>
      <c r="V116" s="5"/>
      <c r="W116" s="19"/>
      <c r="X116" s="5"/>
    </row>
    <row r="117" spans="17:24" ht="10">
      <c r="Q117" s="4"/>
      <c r="R117" s="5"/>
      <c r="S117" s="5"/>
      <c r="T117" s="4"/>
      <c r="U117" s="5"/>
      <c r="V117" s="5"/>
      <c r="W117" s="19"/>
      <c r="X117" s="5"/>
    </row>
    <row r="118" spans="17:24" ht="10">
      <c r="Q118" s="4"/>
      <c r="R118" s="5"/>
      <c r="S118" s="5"/>
      <c r="T118" s="4"/>
      <c r="U118" s="5"/>
      <c r="V118" s="5"/>
      <c r="W118" s="19"/>
      <c r="X118" s="5"/>
    </row>
    <row r="119" spans="17:24" ht="10">
      <c r="Q119" s="4"/>
      <c r="R119" s="5"/>
      <c r="S119" s="5"/>
      <c r="T119" s="4"/>
      <c r="U119" s="5"/>
      <c r="V119" s="5"/>
      <c r="W119" s="19"/>
      <c r="X119" s="5"/>
    </row>
    <row r="120" spans="17:24" ht="10">
      <c r="Q120" s="4"/>
      <c r="R120" s="5"/>
      <c r="S120" s="5"/>
      <c r="T120" s="4"/>
      <c r="U120" s="5"/>
      <c r="V120" s="5"/>
      <c r="W120" s="19"/>
      <c r="X120" s="5"/>
    </row>
    <row r="121" spans="17:24" ht="10">
      <c r="Q121" s="4"/>
      <c r="R121" s="5"/>
      <c r="S121" s="5"/>
      <c r="T121" s="4"/>
      <c r="U121" s="5"/>
      <c r="V121" s="5"/>
      <c r="W121" s="19"/>
      <c r="X121" s="5"/>
    </row>
    <row r="122" spans="17:24" ht="10">
      <c r="Q122" s="4"/>
      <c r="R122" s="5"/>
      <c r="S122" s="5"/>
      <c r="T122" s="4"/>
      <c r="U122" s="5"/>
      <c r="V122" s="5"/>
      <c r="W122" s="19"/>
      <c r="X122" s="5"/>
    </row>
    <row r="123" spans="17:24" ht="10">
      <c r="Q123" s="4"/>
      <c r="R123" s="5"/>
      <c r="S123" s="5"/>
      <c r="T123" s="4"/>
      <c r="U123" s="5"/>
      <c r="V123" s="5"/>
      <c r="W123" s="19"/>
      <c r="X123" s="5"/>
    </row>
    <row r="124" spans="17:24" ht="10">
      <c r="Q124" s="4"/>
      <c r="R124" s="5"/>
      <c r="S124" s="5"/>
      <c r="T124" s="4"/>
      <c r="U124" s="5"/>
      <c r="V124" s="5"/>
      <c r="W124" s="19"/>
      <c r="X124" s="5"/>
    </row>
    <row r="125" spans="17:24" ht="10">
      <c r="Q125" s="4"/>
      <c r="R125" s="5"/>
      <c r="S125" s="5"/>
      <c r="T125" s="4"/>
      <c r="U125" s="5"/>
      <c r="V125" s="5"/>
      <c r="W125" s="19"/>
      <c r="X125" s="5"/>
    </row>
    <row r="126" spans="17:24" ht="10">
      <c r="Q126" s="4"/>
      <c r="R126" s="5"/>
      <c r="S126" s="5"/>
      <c r="T126" s="4"/>
      <c r="U126" s="5"/>
      <c r="V126" s="5"/>
      <c r="W126" s="19"/>
      <c r="X126" s="5"/>
    </row>
    <row r="127" spans="17:24" ht="10">
      <c r="Q127" s="4"/>
      <c r="R127" s="5"/>
      <c r="S127" s="5"/>
      <c r="T127" s="4"/>
      <c r="U127" s="5"/>
      <c r="V127" s="5"/>
      <c r="W127" s="19"/>
      <c r="X127" s="5"/>
    </row>
    <row r="128" spans="17:24" ht="10">
      <c r="Q128" s="4"/>
      <c r="R128" s="5"/>
      <c r="S128" s="5"/>
      <c r="T128" s="4"/>
      <c r="U128" s="5"/>
      <c r="V128" s="5"/>
      <c r="W128" s="19"/>
      <c r="X128" s="5"/>
    </row>
    <row r="129" spans="17:24" ht="10">
      <c r="Q129" s="4"/>
      <c r="R129" s="5"/>
      <c r="S129" s="5"/>
      <c r="T129" s="4"/>
      <c r="U129" s="5"/>
      <c r="V129" s="5"/>
      <c r="W129" s="19"/>
      <c r="X129" s="5"/>
    </row>
    <row r="130" spans="17:24" ht="10">
      <c r="Q130" s="4"/>
      <c r="R130" s="5"/>
      <c r="S130" s="5"/>
      <c r="T130" s="4"/>
      <c r="U130" s="5"/>
      <c r="V130" s="5"/>
      <c r="W130" s="19"/>
      <c r="X130" s="5"/>
    </row>
    <row r="131" spans="17:24" ht="10">
      <c r="Q131" s="4"/>
      <c r="R131" s="5"/>
      <c r="S131" s="5"/>
      <c r="T131" s="4"/>
      <c r="U131" s="5"/>
      <c r="V131" s="5"/>
      <c r="W131" s="19"/>
      <c r="X131" s="5"/>
    </row>
    <row r="132" spans="17:24" ht="10">
      <c r="Q132" s="4"/>
      <c r="R132" s="5"/>
      <c r="S132" s="5"/>
      <c r="T132" s="4"/>
      <c r="U132" s="5"/>
      <c r="V132" s="5"/>
      <c r="W132" s="19"/>
      <c r="X132" s="5"/>
    </row>
    <row r="133" spans="17:24" ht="10">
      <c r="Q133" s="4"/>
      <c r="R133" s="5"/>
      <c r="S133" s="5"/>
      <c r="T133" s="4"/>
      <c r="U133" s="5"/>
      <c r="V133" s="5"/>
      <c r="W133" s="19"/>
      <c r="X133" s="5"/>
    </row>
    <row r="134" spans="17:24" ht="10">
      <c r="Q134" s="4"/>
      <c r="R134" s="5"/>
      <c r="S134" s="5"/>
      <c r="T134" s="4"/>
      <c r="U134" s="5"/>
      <c r="V134" s="5"/>
      <c r="W134" s="19"/>
      <c r="X134" s="5"/>
    </row>
    <row r="135" spans="17:24" ht="10">
      <c r="Q135" s="4"/>
      <c r="R135" s="5"/>
      <c r="S135" s="5"/>
      <c r="T135" s="4"/>
      <c r="U135" s="5"/>
      <c r="V135" s="5"/>
      <c r="W135" s="19"/>
      <c r="X135" s="5"/>
    </row>
    <row r="136" spans="17:24" ht="10">
      <c r="Q136" s="4"/>
      <c r="R136" s="5"/>
      <c r="S136" s="5"/>
      <c r="T136" s="4"/>
      <c r="U136" s="5"/>
      <c r="V136" s="5"/>
      <c r="W136" s="19"/>
      <c r="X136" s="5"/>
    </row>
    <row r="137" spans="17:24" ht="10">
      <c r="Q137" s="4"/>
      <c r="R137" s="5"/>
      <c r="S137" s="5"/>
      <c r="T137" s="4"/>
      <c r="U137" s="5"/>
      <c r="V137" s="5"/>
      <c r="W137" s="19"/>
      <c r="X137" s="5"/>
    </row>
    <row r="138" spans="17:24" ht="10">
      <c r="Q138" s="4"/>
      <c r="R138" s="5"/>
      <c r="S138" s="5"/>
      <c r="T138" s="4"/>
      <c r="U138" s="5"/>
      <c r="V138" s="5"/>
      <c r="W138" s="19"/>
      <c r="X138" s="5"/>
    </row>
    <row r="139" spans="17:24" ht="10">
      <c r="Q139" s="4"/>
      <c r="R139" s="5"/>
      <c r="S139" s="5"/>
      <c r="T139" s="4"/>
      <c r="U139" s="5"/>
      <c r="V139" s="5"/>
      <c r="W139" s="19"/>
      <c r="X139" s="5"/>
    </row>
    <row r="140" spans="17:24" ht="10">
      <c r="Q140" s="4"/>
      <c r="R140" s="5"/>
      <c r="S140" s="5"/>
      <c r="T140" s="4"/>
      <c r="U140" s="5"/>
      <c r="V140" s="5"/>
      <c r="W140" s="19"/>
      <c r="X140" s="5"/>
    </row>
    <row r="141" spans="17:24" ht="10">
      <c r="Q141" s="4"/>
      <c r="R141" s="5"/>
      <c r="S141" s="5"/>
      <c r="T141" s="4"/>
      <c r="U141" s="5"/>
      <c r="V141" s="5"/>
      <c r="W141" s="19"/>
      <c r="X141" s="5"/>
    </row>
    <row r="142" spans="17:24" ht="10">
      <c r="Q142" s="4"/>
      <c r="R142" s="5"/>
      <c r="S142" s="5"/>
      <c r="T142" s="4"/>
      <c r="U142" s="5"/>
      <c r="V142" s="5"/>
      <c r="W142" s="19"/>
      <c r="X142" s="5"/>
    </row>
    <row r="143" spans="17:24" ht="10">
      <c r="Q143" s="4"/>
      <c r="R143" s="5"/>
      <c r="S143" s="5"/>
      <c r="T143" s="4"/>
      <c r="U143" s="5"/>
      <c r="V143" s="5"/>
      <c r="W143" s="19"/>
      <c r="X143" s="5"/>
    </row>
    <row r="144" spans="17:24" ht="10">
      <c r="Q144" s="4"/>
      <c r="R144" s="5"/>
      <c r="S144" s="5"/>
      <c r="T144" s="4"/>
      <c r="U144" s="5"/>
      <c r="V144" s="5"/>
      <c r="W144" s="19"/>
      <c r="X144" s="5"/>
    </row>
    <row r="145" spans="17:24" ht="10">
      <c r="Q145" s="4"/>
      <c r="R145" s="5"/>
      <c r="S145" s="5"/>
      <c r="T145" s="4"/>
      <c r="U145" s="5"/>
      <c r="V145" s="5"/>
      <c r="W145" s="19"/>
      <c r="X145" s="5"/>
    </row>
    <row r="146" spans="17:24" ht="10">
      <c r="Q146" s="4"/>
      <c r="R146" s="5"/>
      <c r="S146" s="5"/>
      <c r="T146" s="4"/>
      <c r="U146" s="5"/>
      <c r="V146" s="5"/>
      <c r="W146" s="19"/>
      <c r="X146" s="5"/>
    </row>
    <row r="147" spans="17:24" ht="10">
      <c r="Q147" s="4"/>
      <c r="R147" s="5"/>
      <c r="S147" s="5"/>
      <c r="T147" s="4"/>
      <c r="U147" s="5"/>
      <c r="V147" s="5"/>
      <c r="W147" s="19"/>
      <c r="X147" s="5"/>
    </row>
    <row r="148" spans="17:24" ht="10">
      <c r="Q148" s="4"/>
      <c r="R148" s="5"/>
      <c r="S148" s="5"/>
      <c r="T148" s="4"/>
      <c r="U148" s="5"/>
      <c r="V148" s="5"/>
      <c r="W148" s="19"/>
      <c r="X148" s="5"/>
    </row>
    <row r="149" spans="17:24" ht="10">
      <c r="Q149" s="4"/>
      <c r="R149" s="5"/>
      <c r="S149" s="5"/>
      <c r="T149" s="4"/>
      <c r="U149" s="5"/>
      <c r="V149" s="5"/>
      <c r="W149" s="19"/>
      <c r="X149" s="5"/>
    </row>
    <row r="150" spans="17:24" ht="10">
      <c r="Q150" s="4"/>
      <c r="R150" s="5"/>
      <c r="S150" s="5"/>
      <c r="T150" s="4"/>
      <c r="U150" s="5"/>
      <c r="V150" s="5"/>
      <c r="W150" s="19"/>
      <c r="X150" s="5"/>
    </row>
    <row r="151" spans="17:24" ht="10">
      <c r="Q151" s="4"/>
      <c r="R151" s="5"/>
      <c r="S151" s="5"/>
      <c r="T151" s="4"/>
      <c r="U151" s="5"/>
      <c r="V151" s="5"/>
      <c r="W151" s="19"/>
      <c r="X151" s="5"/>
    </row>
    <row r="152" spans="17:24" ht="10">
      <c r="Q152" s="4"/>
      <c r="R152" s="5"/>
      <c r="S152" s="5"/>
      <c r="T152" s="4"/>
      <c r="U152" s="5"/>
      <c r="V152" s="5"/>
      <c r="W152" s="19"/>
      <c r="X152" s="5"/>
    </row>
    <row r="153" spans="17:24" ht="10">
      <c r="Q153" s="4"/>
      <c r="R153" s="5"/>
      <c r="S153" s="5"/>
      <c r="T153" s="4"/>
      <c r="U153" s="5"/>
      <c r="V153" s="5"/>
      <c r="W153" s="19"/>
      <c r="X153" s="5"/>
    </row>
    <row r="154" spans="17:24" ht="10">
      <c r="Q154" s="4"/>
      <c r="R154" s="5"/>
      <c r="S154" s="5"/>
      <c r="T154" s="4"/>
      <c r="U154" s="5"/>
      <c r="V154" s="5"/>
      <c r="W154" s="19"/>
      <c r="X154" s="5"/>
    </row>
    <row r="155" spans="17:24" ht="10">
      <c r="Q155" s="4"/>
      <c r="R155" s="5"/>
      <c r="S155" s="5"/>
      <c r="T155" s="4"/>
      <c r="U155" s="5"/>
      <c r="V155" s="5"/>
      <c r="W155" s="19"/>
      <c r="X155" s="5"/>
    </row>
    <row r="156" spans="17:24" ht="10">
      <c r="Q156" s="4"/>
      <c r="R156" s="5"/>
      <c r="S156" s="5"/>
      <c r="T156" s="4"/>
      <c r="U156" s="5"/>
      <c r="V156" s="5"/>
      <c r="W156" s="19"/>
      <c r="X156" s="5"/>
    </row>
    <row r="157" spans="17:24" ht="10">
      <c r="Q157" s="4"/>
      <c r="R157" s="5"/>
      <c r="S157" s="5"/>
      <c r="T157" s="4"/>
      <c r="U157" s="5"/>
      <c r="V157" s="5"/>
      <c r="W157" s="19"/>
      <c r="X157" s="5"/>
    </row>
    <row r="158" spans="17:24" ht="10">
      <c r="Q158" s="4"/>
      <c r="R158" s="5"/>
      <c r="S158" s="5"/>
      <c r="T158" s="4"/>
      <c r="U158" s="5"/>
      <c r="V158" s="5"/>
      <c r="W158" s="19"/>
      <c r="X158" s="5"/>
    </row>
    <row r="159" spans="17:24" ht="10">
      <c r="Q159" s="4"/>
      <c r="R159" s="5"/>
      <c r="S159" s="5"/>
      <c r="T159" s="4"/>
      <c r="U159" s="5"/>
      <c r="V159" s="5"/>
      <c r="W159" s="19"/>
      <c r="X159" s="5"/>
    </row>
    <row r="160" spans="17:24" ht="10">
      <c r="Q160" s="4"/>
      <c r="R160" s="5"/>
      <c r="S160" s="5"/>
      <c r="T160" s="4"/>
      <c r="U160" s="5"/>
      <c r="V160" s="5"/>
      <c r="W160" s="19"/>
      <c r="X160" s="5"/>
    </row>
    <row r="161" spans="17:24" ht="10">
      <c r="Q161" s="4"/>
      <c r="R161" s="5"/>
      <c r="S161" s="5"/>
      <c r="T161" s="4"/>
      <c r="U161" s="5"/>
      <c r="V161" s="5"/>
      <c r="W161" s="19"/>
      <c r="X161" s="5"/>
    </row>
    <row r="162" spans="17:24" ht="10">
      <c r="Q162" s="4"/>
      <c r="R162" s="5"/>
      <c r="S162" s="5"/>
      <c r="T162" s="4"/>
      <c r="U162" s="5"/>
      <c r="V162" s="5"/>
      <c r="W162" s="19"/>
      <c r="X162" s="5"/>
    </row>
    <row r="163" spans="17:24" ht="10">
      <c r="Q163" s="4"/>
      <c r="R163" s="5"/>
      <c r="S163" s="5"/>
      <c r="T163" s="4"/>
      <c r="U163" s="5"/>
      <c r="V163" s="5"/>
      <c r="W163" s="19"/>
      <c r="X163" s="5"/>
    </row>
    <row r="164" spans="17:24" ht="10">
      <c r="Q164" s="4"/>
      <c r="R164" s="5"/>
      <c r="S164" s="5"/>
      <c r="T164" s="4"/>
      <c r="U164" s="5"/>
      <c r="V164" s="5"/>
      <c r="W164" s="19"/>
      <c r="X164" s="5"/>
    </row>
    <row r="165" spans="17:24" ht="10">
      <c r="Q165" s="4"/>
      <c r="R165" s="5"/>
      <c r="S165" s="5"/>
      <c r="T165" s="4"/>
      <c r="U165" s="5"/>
      <c r="V165" s="5"/>
      <c r="W165" s="19"/>
      <c r="X165" s="5"/>
    </row>
    <row r="166" spans="17:24" ht="10">
      <c r="Q166" s="4"/>
      <c r="R166" s="5"/>
      <c r="S166" s="5"/>
      <c r="T166" s="4"/>
      <c r="U166" s="5"/>
      <c r="V166" s="5"/>
      <c r="W166" s="19"/>
      <c r="X166" s="5"/>
    </row>
    <row r="167" spans="17:24" ht="10">
      <c r="Q167" s="4"/>
      <c r="R167" s="5"/>
      <c r="S167" s="5"/>
      <c r="T167" s="4"/>
      <c r="U167" s="5"/>
      <c r="V167" s="5"/>
      <c r="W167" s="19"/>
      <c r="X167" s="5"/>
    </row>
    <row r="168" spans="17:24" ht="10">
      <c r="Q168" s="4"/>
      <c r="R168" s="5"/>
      <c r="S168" s="5"/>
      <c r="T168" s="4"/>
      <c r="U168" s="5"/>
      <c r="V168" s="5"/>
      <c r="W168" s="19"/>
      <c r="X168" s="5"/>
    </row>
    <row r="169" spans="17:24" ht="10">
      <c r="Q169" s="4"/>
      <c r="R169" s="5"/>
      <c r="S169" s="5"/>
      <c r="T169" s="4"/>
      <c r="U169" s="5"/>
      <c r="V169" s="5"/>
      <c r="W169" s="19"/>
      <c r="X169" s="5"/>
    </row>
    <row r="170" spans="17:24" ht="10">
      <c r="Q170" s="4"/>
      <c r="R170" s="5"/>
      <c r="S170" s="5"/>
      <c r="T170" s="4"/>
      <c r="U170" s="5"/>
      <c r="V170" s="5"/>
      <c r="W170" s="19"/>
      <c r="X170" s="5"/>
    </row>
    <row r="171" spans="17:24" ht="10">
      <c r="Q171" s="4"/>
      <c r="R171" s="5"/>
      <c r="S171" s="5"/>
      <c r="T171" s="4"/>
      <c r="U171" s="5"/>
      <c r="V171" s="5"/>
      <c r="W171" s="19"/>
      <c r="X171" s="5"/>
    </row>
    <row r="172" spans="17:24" ht="10">
      <c r="Q172" s="4"/>
      <c r="R172" s="5"/>
      <c r="S172" s="5"/>
      <c r="T172" s="4"/>
      <c r="U172" s="5"/>
      <c r="V172" s="5"/>
      <c r="W172" s="19"/>
      <c r="X172" s="5"/>
    </row>
    <row r="173" spans="17:24" ht="10">
      <c r="Q173" s="4"/>
      <c r="R173" s="5"/>
      <c r="S173" s="5"/>
      <c r="T173" s="4"/>
      <c r="U173" s="5"/>
      <c r="V173" s="5"/>
      <c r="W173" s="19"/>
      <c r="X173" s="5"/>
    </row>
    <row r="174" spans="17:24" ht="10">
      <c r="Q174" s="4"/>
      <c r="R174" s="5"/>
      <c r="S174" s="5"/>
      <c r="T174" s="4"/>
      <c r="U174" s="5"/>
      <c r="V174" s="5"/>
      <c r="W174" s="19"/>
      <c r="X174" s="5"/>
    </row>
    <row r="175" spans="17:24" ht="10">
      <c r="Q175" s="4"/>
      <c r="R175" s="5"/>
      <c r="S175" s="5"/>
      <c r="T175" s="4"/>
      <c r="U175" s="5"/>
      <c r="V175" s="5"/>
      <c r="W175" s="19"/>
      <c r="X175" s="5"/>
    </row>
    <row r="176" spans="17:24" ht="10">
      <c r="Q176" s="4"/>
      <c r="R176" s="5"/>
      <c r="S176" s="5"/>
      <c r="T176" s="4"/>
      <c r="U176" s="5"/>
      <c r="V176" s="5"/>
      <c r="W176" s="19"/>
      <c r="X176" s="5"/>
    </row>
    <row r="177" spans="17:24" ht="10">
      <c r="Q177" s="4"/>
      <c r="R177" s="5"/>
      <c r="S177" s="5"/>
      <c r="T177" s="4"/>
      <c r="U177" s="5"/>
      <c r="V177" s="5"/>
      <c r="W177" s="19"/>
      <c r="X177" s="5"/>
    </row>
    <row r="178" spans="17:24" ht="10">
      <c r="Q178" s="4"/>
      <c r="R178" s="5"/>
      <c r="S178" s="5"/>
      <c r="T178" s="4"/>
      <c r="U178" s="5"/>
      <c r="V178" s="5"/>
      <c r="W178" s="19"/>
      <c r="X178" s="5"/>
    </row>
    <row r="179" spans="17:24" ht="10">
      <c r="Q179" s="4"/>
      <c r="R179" s="5"/>
      <c r="S179" s="5"/>
      <c r="T179" s="4"/>
      <c r="U179" s="5"/>
      <c r="V179" s="5"/>
      <c r="W179" s="19"/>
      <c r="X179" s="5"/>
    </row>
    <row r="180" spans="17:24" ht="10">
      <c r="Q180" s="4"/>
      <c r="R180" s="5"/>
      <c r="S180" s="5"/>
      <c r="T180" s="4"/>
      <c r="U180" s="5"/>
      <c r="V180" s="5"/>
      <c r="W180" s="19"/>
      <c r="X180" s="5"/>
    </row>
    <row r="181" spans="17:24" ht="10">
      <c r="Q181" s="4"/>
      <c r="R181" s="5"/>
      <c r="S181" s="5"/>
      <c r="T181" s="4"/>
      <c r="U181" s="5"/>
      <c r="V181" s="5"/>
      <c r="W181" s="19"/>
      <c r="X181" s="5"/>
    </row>
    <row r="182" spans="17:24" ht="10">
      <c r="Q182" s="4"/>
      <c r="R182" s="5"/>
      <c r="S182" s="5"/>
      <c r="T182" s="4"/>
      <c r="U182" s="5"/>
      <c r="V182" s="5"/>
      <c r="W182" s="19"/>
      <c r="X182" s="5"/>
    </row>
    <row r="183" spans="17:24" ht="10">
      <c r="Q183" s="4"/>
      <c r="R183" s="5"/>
      <c r="S183" s="5"/>
      <c r="T183" s="4"/>
      <c r="U183" s="5"/>
      <c r="V183" s="5"/>
      <c r="W183" s="19"/>
      <c r="X183" s="5"/>
    </row>
    <row r="184" spans="17:24" ht="10">
      <c r="Q184" s="4"/>
      <c r="R184" s="5"/>
      <c r="S184" s="5"/>
      <c r="T184" s="4"/>
      <c r="U184" s="5"/>
      <c r="V184" s="5"/>
      <c r="W184" s="19"/>
      <c r="X184" s="5"/>
    </row>
    <row r="185" spans="17:24" ht="10">
      <c r="Q185" s="4"/>
      <c r="R185" s="5"/>
      <c r="S185" s="5"/>
      <c r="T185" s="4"/>
      <c r="U185" s="5"/>
      <c r="V185" s="5"/>
      <c r="W185" s="19"/>
      <c r="X185" s="5"/>
    </row>
    <row r="186" spans="17:24" ht="10">
      <c r="Q186" s="4"/>
      <c r="R186" s="5"/>
      <c r="S186" s="5"/>
      <c r="T186" s="4"/>
      <c r="U186" s="5"/>
      <c r="V186" s="5"/>
      <c r="W186" s="19"/>
      <c r="X186" s="5"/>
    </row>
    <row r="187" spans="17:24" ht="10">
      <c r="Q187" s="4"/>
      <c r="R187" s="5"/>
      <c r="S187" s="5"/>
      <c r="T187" s="4"/>
      <c r="U187" s="5"/>
      <c r="V187" s="5"/>
      <c r="W187" s="19"/>
      <c r="X187" s="5"/>
    </row>
    <row r="188" spans="17:24" ht="10">
      <c r="Q188" s="4"/>
      <c r="R188" s="5"/>
      <c r="S188" s="5"/>
      <c r="T188" s="4"/>
      <c r="U188" s="5"/>
      <c r="V188" s="5"/>
      <c r="W188" s="19"/>
      <c r="X188" s="5"/>
    </row>
    <row r="189" spans="17:24" ht="10">
      <c r="Q189" s="4"/>
      <c r="R189" s="5"/>
      <c r="S189" s="5"/>
      <c r="T189" s="4"/>
      <c r="U189" s="5"/>
      <c r="V189" s="5"/>
      <c r="W189" s="19"/>
      <c r="X189" s="5"/>
    </row>
    <row r="190" spans="17:24" ht="10">
      <c r="Q190" s="4"/>
      <c r="R190" s="5"/>
      <c r="S190" s="5"/>
      <c r="T190" s="4"/>
      <c r="U190" s="5"/>
      <c r="V190" s="5"/>
      <c r="W190" s="19"/>
      <c r="X190" s="5"/>
    </row>
  </sheetData>
  <dataValidations disablePrompts="1" count="2">
    <dataValidation type="list" allowBlank="1" showInputMessage="1" showErrorMessage="1" sqref="C5:C9 C23:C27 C29:C33 C35:C45 C11:C21 C47:C76" xr:uid="{D179A1AF-FBCC-4DBC-B6ED-17A64B0B40AD}">
      <formula1>INDIRECT("t_"&amp;$B5)</formula1>
    </dataValidation>
    <dataValidation type="list" allowBlank="1" showInputMessage="1" showErrorMessage="1" sqref="B5:B9 B11:B21 B23:B27 B29:B33 B35:B45 B47:B76" xr:uid="{55BE50E3-E61D-45AF-BC18-CCF9475DD922}">
      <formula1>INDIRECT("t_TipoDeclaración")</formula1>
    </dataValidation>
  </dataValidations>
  <printOptions horizontalCentered="1"/>
  <pageMargins left="0.19685039370078741" right="0.19685039370078741" top="0.59055118110236227" bottom="0.59055118110236227" header="0.51181102362204722" footer="0.51181102362204722"/>
  <pageSetup scale="34" orientation="landscape" horizontalDpi="360" vertic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CA76-CEA4-473F-9255-A4CF65A3FE10}">
  <sheetPr>
    <tabColor rgb="FFFFC000"/>
  </sheetPr>
  <dimension ref="A1:F121"/>
  <sheetViews>
    <sheetView showGridLines="0" zoomScale="110" zoomScaleNormal="11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4296875" defaultRowHeight="11.5"/>
  <cols>
    <col min="1" max="1" width="11.54296875" style="13"/>
    <col min="2" max="2" width="16.08984375" style="15" bestFit="1" customWidth="1"/>
    <col min="3" max="4" width="16.08984375" style="15" customWidth="1"/>
    <col min="5" max="5" width="14.36328125" style="11" customWidth="1"/>
    <col min="6" max="6" width="11.453125" style="11" customWidth="1"/>
    <col min="7" max="16384" width="11.54296875" style="13"/>
  </cols>
  <sheetData>
    <row r="1" spans="1:6">
      <c r="A1" s="46">
        <f>ISN!A1</f>
        <v>0</v>
      </c>
      <c r="B1" s="71"/>
      <c r="C1" s="46"/>
      <c r="D1" s="46"/>
      <c r="E1" s="52"/>
    </row>
    <row r="2" spans="1:6">
      <c r="A2" s="46" t="s">
        <v>88</v>
      </c>
      <c r="B2" s="71"/>
      <c r="C2" s="46"/>
      <c r="D2" s="46"/>
      <c r="E2" s="52"/>
    </row>
    <row r="3" spans="1:6">
      <c r="A3" s="10" t="s">
        <v>19</v>
      </c>
      <c r="B3" s="10" t="s">
        <v>70</v>
      </c>
      <c r="C3" s="10" t="s">
        <v>75</v>
      </c>
      <c r="D3" s="60" t="s">
        <v>84</v>
      </c>
      <c r="E3" s="60" t="s">
        <v>12</v>
      </c>
      <c r="F3" s="12"/>
    </row>
    <row r="4" spans="1:6">
      <c r="A4" s="53" t="s">
        <v>47</v>
      </c>
      <c r="B4" s="49">
        <f>SUMIFS(ISN!$G:$G,ISN!$A:$A,$A4)</f>
        <v>0</v>
      </c>
      <c r="C4" s="69">
        <f>SUMIFS(ISH!$G:$G,ISH!$A:$A,$A4)</f>
        <v>0</v>
      </c>
      <c r="D4" s="69">
        <f>SUMIFS('RET ISN'!$H:$H,'RET ISN'!$A:$A,$A4)</f>
        <v>0</v>
      </c>
      <c r="E4" s="59">
        <f t="shared" ref="E4:E15" si="0">SUM(B4:D4)</f>
        <v>0</v>
      </c>
      <c r="F4" s="17"/>
    </row>
    <row r="5" spans="1:6">
      <c r="A5" s="53" t="s">
        <v>48</v>
      </c>
      <c r="B5" s="49">
        <f>SUMIFS(ISN!$G:$G,ISN!$A:$A,$A5)</f>
        <v>0</v>
      </c>
      <c r="C5" s="69">
        <f>SUMIFS(ISH!$G:$G,ISH!$A:$A,$A5)</f>
        <v>0</v>
      </c>
      <c r="D5" s="69">
        <f>SUMIFS('RET ISN'!$H:$H,'RET ISN'!$A:$A,$A5)</f>
        <v>0</v>
      </c>
      <c r="E5" s="59">
        <f t="shared" si="0"/>
        <v>0</v>
      </c>
      <c r="F5" s="50"/>
    </row>
    <row r="6" spans="1:6">
      <c r="A6" s="53" t="s">
        <v>49</v>
      </c>
      <c r="B6" s="49">
        <f>SUMIFS(ISN!$G:$G,ISN!$A:$A,$A6)</f>
        <v>0</v>
      </c>
      <c r="C6" s="69">
        <f>SUMIFS(ISH!$G:$G,ISH!$A:$A,$A6)</f>
        <v>0</v>
      </c>
      <c r="D6" s="69">
        <f>SUMIFS('RET ISN'!$H:$H,'RET ISN'!$A:$A,$A6)</f>
        <v>0</v>
      </c>
      <c r="E6" s="59">
        <f t="shared" si="0"/>
        <v>0</v>
      </c>
      <c r="F6" s="50"/>
    </row>
    <row r="7" spans="1:6">
      <c r="A7" s="53" t="s">
        <v>50</v>
      </c>
      <c r="B7" s="49">
        <f>SUMIFS(ISN!$G:$G,ISN!$A:$A,$A7)</f>
        <v>0</v>
      </c>
      <c r="C7" s="69">
        <f>SUMIFS(ISH!$G:$G,ISH!$A:$A,$A7)</f>
        <v>0</v>
      </c>
      <c r="D7" s="69">
        <f>SUMIFS('RET ISN'!$H:$H,'RET ISN'!$A:$A,$A7)</f>
        <v>0</v>
      </c>
      <c r="E7" s="59">
        <f t="shared" si="0"/>
        <v>0</v>
      </c>
      <c r="F7" s="50"/>
    </row>
    <row r="8" spans="1:6">
      <c r="A8" s="53" t="s">
        <v>51</v>
      </c>
      <c r="B8" s="49">
        <f>SUMIFS(ISN!$G:$G,ISN!$A:$A,$A8)</f>
        <v>0</v>
      </c>
      <c r="C8" s="69">
        <f>SUMIFS(ISH!$G:$G,ISH!$A:$A,$A8)</f>
        <v>0</v>
      </c>
      <c r="D8" s="69">
        <f>SUMIFS('RET ISN'!$H:$H,'RET ISN'!$A:$A,$A8)</f>
        <v>0</v>
      </c>
      <c r="E8" s="59">
        <f t="shared" si="0"/>
        <v>0</v>
      </c>
      <c r="F8" s="50"/>
    </row>
    <row r="9" spans="1:6">
      <c r="A9" s="53" t="s">
        <v>52</v>
      </c>
      <c r="B9" s="49">
        <f>SUMIFS(ISN!$G:$G,ISN!$A:$A,$A9)</f>
        <v>0</v>
      </c>
      <c r="C9" s="69">
        <f>SUMIFS(ISH!$G:$G,ISH!$A:$A,$A9)</f>
        <v>0</v>
      </c>
      <c r="D9" s="69">
        <f>SUMIFS('RET ISN'!$H:$H,'RET ISN'!$A:$A,$A9)</f>
        <v>0</v>
      </c>
      <c r="E9" s="59">
        <f t="shared" si="0"/>
        <v>0</v>
      </c>
      <c r="F9" s="50"/>
    </row>
    <row r="10" spans="1:6">
      <c r="A10" s="53" t="s">
        <v>53</v>
      </c>
      <c r="B10" s="49">
        <f>SUMIFS(ISN!$G:$G,ISN!$A:$A,$A10)</f>
        <v>0</v>
      </c>
      <c r="C10" s="69">
        <f>SUMIFS(ISH!$G:$G,ISH!$A:$A,$A10)</f>
        <v>0</v>
      </c>
      <c r="D10" s="69">
        <f>SUMIFS('RET ISN'!$H:$H,'RET ISN'!$A:$A,$A10)</f>
        <v>0</v>
      </c>
      <c r="E10" s="59">
        <f t="shared" si="0"/>
        <v>0</v>
      </c>
      <c r="F10" s="32"/>
    </row>
    <row r="11" spans="1:6">
      <c r="A11" s="53" t="s">
        <v>54</v>
      </c>
      <c r="B11" s="49">
        <f>SUMIFS(ISN!$G:$G,ISN!$A:$A,$A11)</f>
        <v>0</v>
      </c>
      <c r="C11" s="69">
        <f>SUMIFS(ISH!$G:$G,ISH!$A:$A,$A11)</f>
        <v>0</v>
      </c>
      <c r="D11" s="69">
        <f>SUMIFS('RET ISN'!$H:$H,'RET ISN'!$A:$A,$A11)</f>
        <v>0</v>
      </c>
      <c r="E11" s="59">
        <f t="shared" si="0"/>
        <v>0</v>
      </c>
      <c r="F11" s="50"/>
    </row>
    <row r="12" spans="1:6">
      <c r="A12" s="53" t="s">
        <v>55</v>
      </c>
      <c r="B12" s="49">
        <f>SUMIFS(ISN!$G:$G,ISN!$A:$A,$A12)</f>
        <v>0</v>
      </c>
      <c r="C12" s="69">
        <f>SUMIFS(ISH!$G:$G,ISH!$A:$A,$A12)</f>
        <v>0</v>
      </c>
      <c r="D12" s="69">
        <f>SUMIFS('RET ISN'!$H:$H,'RET ISN'!$A:$A,$A12)</f>
        <v>0</v>
      </c>
      <c r="E12" s="59">
        <f t="shared" si="0"/>
        <v>0</v>
      </c>
      <c r="F12" s="50"/>
    </row>
    <row r="13" spans="1:6">
      <c r="A13" s="53" t="s">
        <v>56</v>
      </c>
      <c r="B13" s="49">
        <f>SUMIFS(ISN!$G:$G,ISN!$A:$A,$A13)</f>
        <v>0</v>
      </c>
      <c r="C13" s="69">
        <f>SUMIFS(ISH!$G:$G,ISH!$A:$A,$A13)</f>
        <v>0</v>
      </c>
      <c r="D13" s="69">
        <f>SUMIFS('RET ISN'!$H:$H,'RET ISN'!$A:$A,$A13)</f>
        <v>0</v>
      </c>
      <c r="E13" s="59">
        <f t="shared" si="0"/>
        <v>0</v>
      </c>
      <c r="F13" s="50"/>
    </row>
    <row r="14" spans="1:6">
      <c r="A14" s="53" t="s">
        <v>57</v>
      </c>
      <c r="B14" s="49">
        <f>SUMIFS(ISN!$G:$G,ISN!$A:$A,$A14)</f>
        <v>0</v>
      </c>
      <c r="C14" s="69">
        <f>SUMIFS(ISH!$G:$G,ISH!$A:$A,$A14)</f>
        <v>0</v>
      </c>
      <c r="D14" s="69">
        <f>SUMIFS('RET ISN'!$H:$H,'RET ISN'!$A:$A,$A14)</f>
        <v>0</v>
      </c>
      <c r="E14" s="59">
        <f t="shared" si="0"/>
        <v>0</v>
      </c>
      <c r="F14" s="50"/>
    </row>
    <row r="15" spans="1:6">
      <c r="A15" s="53" t="s">
        <v>58</v>
      </c>
      <c r="B15" s="49">
        <f>SUMIFS(ISN!$G:$G,ISN!$A:$A,$A15)</f>
        <v>0</v>
      </c>
      <c r="C15" s="69">
        <f>SUMIFS(ISH!$G:$G,ISH!$A:$A,$A15)</f>
        <v>0</v>
      </c>
      <c r="D15" s="69">
        <f>SUMIFS('RET ISN'!$H:$H,'RET ISN'!$A:$A,$A15)</f>
        <v>0</v>
      </c>
      <c r="E15" s="59">
        <f t="shared" si="0"/>
        <v>0</v>
      </c>
      <c r="F15" s="50"/>
    </row>
    <row r="16" spans="1:6" ht="12" thickBot="1">
      <c r="B16" s="51"/>
      <c r="C16" s="51"/>
      <c r="D16" s="51"/>
      <c r="E16" s="51"/>
      <c r="F16" s="50"/>
    </row>
    <row r="17" spans="2:6" ht="12" thickTop="1">
      <c r="B17" s="47">
        <f>SUM(B4:B16)</f>
        <v>0</v>
      </c>
      <c r="C17" s="47">
        <f>SUM(C4:C16)</f>
        <v>0</v>
      </c>
      <c r="D17" s="47">
        <f>SUM(D4:D16)</f>
        <v>0</v>
      </c>
      <c r="E17" s="47">
        <f>SUM(E4:E16)</f>
        <v>0</v>
      </c>
      <c r="F17" s="50"/>
    </row>
    <row r="18" spans="2:6">
      <c r="B18" s="51"/>
      <c r="C18" s="51"/>
      <c r="D18" s="51"/>
      <c r="E18" s="51"/>
      <c r="F18" s="50"/>
    </row>
    <row r="19" spans="2:6">
      <c r="B19" s="51"/>
      <c r="C19" s="51"/>
      <c r="D19" s="51"/>
      <c r="E19" s="51"/>
      <c r="F19" s="50"/>
    </row>
    <row r="20" spans="2:6">
      <c r="B20" s="51"/>
      <c r="C20" s="51"/>
      <c r="D20" s="51"/>
      <c r="E20" s="51"/>
      <c r="F20" s="50"/>
    </row>
    <row r="21" spans="2:6">
      <c r="B21" s="32"/>
      <c r="C21" s="32"/>
      <c r="D21" s="32"/>
      <c r="E21" s="32"/>
      <c r="F21" s="32"/>
    </row>
    <row r="22" spans="2:6">
      <c r="B22" s="31"/>
      <c r="C22" s="31"/>
      <c r="D22" s="31"/>
      <c r="E22" s="32"/>
      <c r="F22" s="32"/>
    </row>
    <row r="23" spans="2:6">
      <c r="B23" s="31"/>
      <c r="C23" s="31"/>
      <c r="D23" s="31"/>
      <c r="E23" s="32"/>
      <c r="F23" s="32"/>
    </row>
    <row r="24" spans="2:6">
      <c r="B24" s="31"/>
      <c r="C24" s="31"/>
      <c r="D24" s="31"/>
      <c r="E24" s="32"/>
      <c r="F24" s="32"/>
    </row>
    <row r="25" spans="2:6">
      <c r="B25" s="31"/>
      <c r="C25" s="31"/>
      <c r="D25" s="31"/>
      <c r="E25" s="32"/>
      <c r="F25" s="32"/>
    </row>
    <row r="26" spans="2:6">
      <c r="B26" s="31"/>
      <c r="C26" s="31"/>
      <c r="D26" s="31"/>
      <c r="E26" s="32"/>
      <c r="F26" s="32"/>
    </row>
    <row r="27" spans="2:6">
      <c r="E27" s="25"/>
      <c r="F27" s="25"/>
    </row>
    <row r="28" spans="2:6">
      <c r="E28" s="25"/>
      <c r="F28" s="25"/>
    </row>
    <row r="29" spans="2:6">
      <c r="E29" s="19"/>
      <c r="F29" s="19"/>
    </row>
    <row r="30" spans="2:6">
      <c r="E30" s="19"/>
      <c r="F30" s="19"/>
    </row>
    <row r="31" spans="2:6">
      <c r="E31" s="19"/>
      <c r="F31" s="19"/>
    </row>
    <row r="32" spans="2:6">
      <c r="E32" s="19"/>
      <c r="F32" s="19"/>
    </row>
    <row r="33" spans="5:6">
      <c r="E33" s="19"/>
      <c r="F33" s="19"/>
    </row>
    <row r="34" spans="5:6">
      <c r="E34" s="19"/>
      <c r="F34" s="19"/>
    </row>
    <row r="35" spans="5:6">
      <c r="E35" s="19"/>
      <c r="F35" s="19"/>
    </row>
    <row r="36" spans="5:6">
      <c r="E36" s="19"/>
      <c r="F36" s="19"/>
    </row>
    <row r="37" spans="5:6">
      <c r="E37" s="19"/>
      <c r="F37" s="19"/>
    </row>
    <row r="38" spans="5:6">
      <c r="E38" s="19"/>
      <c r="F38" s="19"/>
    </row>
    <row r="39" spans="5:6">
      <c r="E39" s="19"/>
      <c r="F39" s="19"/>
    </row>
    <row r="40" spans="5:6">
      <c r="E40" s="19"/>
      <c r="F40" s="19"/>
    </row>
    <row r="41" spans="5:6">
      <c r="E41" s="19"/>
      <c r="F41" s="19"/>
    </row>
    <row r="42" spans="5:6">
      <c r="E42" s="19"/>
      <c r="F42" s="19"/>
    </row>
    <row r="43" spans="5:6">
      <c r="E43" s="19"/>
      <c r="F43" s="19"/>
    </row>
    <row r="44" spans="5:6">
      <c r="E44" s="19"/>
      <c r="F44" s="19"/>
    </row>
    <row r="45" spans="5:6">
      <c r="E45" s="19"/>
      <c r="F45" s="19"/>
    </row>
    <row r="46" spans="5:6">
      <c r="E46" s="19"/>
      <c r="F46" s="19"/>
    </row>
    <row r="47" spans="5:6">
      <c r="E47" s="19"/>
      <c r="F47" s="19"/>
    </row>
    <row r="48" spans="5:6">
      <c r="E48" s="19"/>
      <c r="F48" s="19"/>
    </row>
    <row r="49" spans="5:6">
      <c r="E49" s="19"/>
      <c r="F49" s="19"/>
    </row>
    <row r="50" spans="5:6">
      <c r="E50" s="19"/>
      <c r="F50" s="19"/>
    </row>
    <row r="51" spans="5:6">
      <c r="E51" s="19"/>
      <c r="F51" s="19"/>
    </row>
    <row r="52" spans="5:6">
      <c r="E52" s="19"/>
      <c r="F52" s="19"/>
    </row>
    <row r="53" spans="5:6">
      <c r="E53" s="19"/>
      <c r="F53" s="19"/>
    </row>
    <row r="54" spans="5:6">
      <c r="E54" s="19"/>
      <c r="F54" s="19"/>
    </row>
    <row r="55" spans="5:6">
      <c r="E55" s="19"/>
      <c r="F55" s="19"/>
    </row>
    <row r="56" spans="5:6">
      <c r="E56" s="19"/>
      <c r="F56" s="19"/>
    </row>
    <row r="57" spans="5:6">
      <c r="E57" s="19"/>
      <c r="F57" s="19"/>
    </row>
    <row r="58" spans="5:6">
      <c r="E58" s="19"/>
      <c r="F58" s="19"/>
    </row>
    <row r="59" spans="5:6">
      <c r="E59" s="19"/>
      <c r="F59" s="19"/>
    </row>
    <row r="60" spans="5:6">
      <c r="E60" s="19"/>
      <c r="F60" s="19"/>
    </row>
    <row r="61" spans="5:6">
      <c r="E61" s="19"/>
      <c r="F61" s="19"/>
    </row>
    <row r="62" spans="5:6">
      <c r="E62" s="19"/>
      <c r="F62" s="19"/>
    </row>
    <row r="63" spans="5:6">
      <c r="E63" s="19"/>
      <c r="F63" s="19"/>
    </row>
    <row r="64" spans="5:6">
      <c r="E64" s="19"/>
      <c r="F64" s="19"/>
    </row>
    <row r="65" spans="5:6">
      <c r="E65" s="19"/>
      <c r="F65" s="19"/>
    </row>
    <row r="66" spans="5:6">
      <c r="E66" s="19"/>
      <c r="F66" s="19"/>
    </row>
    <row r="67" spans="5:6">
      <c r="E67" s="19"/>
      <c r="F67" s="19"/>
    </row>
    <row r="68" spans="5:6">
      <c r="E68" s="19"/>
      <c r="F68" s="19"/>
    </row>
    <row r="69" spans="5:6">
      <c r="E69" s="19"/>
      <c r="F69" s="19"/>
    </row>
    <row r="70" spans="5:6">
      <c r="E70" s="19"/>
      <c r="F70" s="19"/>
    </row>
    <row r="71" spans="5:6">
      <c r="E71" s="19"/>
      <c r="F71" s="19"/>
    </row>
    <row r="72" spans="5:6">
      <c r="E72" s="19"/>
      <c r="F72" s="19"/>
    </row>
    <row r="73" spans="5:6">
      <c r="E73" s="19"/>
      <c r="F73" s="19"/>
    </row>
    <row r="74" spans="5:6">
      <c r="E74" s="19"/>
      <c r="F74" s="19"/>
    </row>
    <row r="75" spans="5:6">
      <c r="E75" s="19"/>
      <c r="F75" s="19"/>
    </row>
    <row r="76" spans="5:6">
      <c r="E76" s="19"/>
      <c r="F76" s="19"/>
    </row>
    <row r="77" spans="5:6">
      <c r="E77" s="19"/>
      <c r="F77" s="19"/>
    </row>
    <row r="78" spans="5:6">
      <c r="E78" s="19"/>
      <c r="F78" s="19"/>
    </row>
    <row r="79" spans="5:6">
      <c r="E79" s="19"/>
      <c r="F79" s="19"/>
    </row>
    <row r="80" spans="5:6">
      <c r="E80" s="19"/>
      <c r="F80" s="19"/>
    </row>
    <row r="81" spans="5:6">
      <c r="E81" s="19"/>
      <c r="F81" s="19"/>
    </row>
    <row r="82" spans="5:6">
      <c r="E82" s="19"/>
      <c r="F82" s="19"/>
    </row>
    <row r="83" spans="5:6">
      <c r="E83" s="19"/>
      <c r="F83" s="19"/>
    </row>
    <row r="84" spans="5:6">
      <c r="E84" s="19"/>
      <c r="F84" s="19"/>
    </row>
    <row r="85" spans="5:6">
      <c r="E85" s="19"/>
      <c r="F85" s="19"/>
    </row>
    <row r="86" spans="5:6">
      <c r="E86" s="19"/>
      <c r="F86" s="19"/>
    </row>
    <row r="87" spans="5:6">
      <c r="E87" s="19"/>
      <c r="F87" s="19"/>
    </row>
    <row r="88" spans="5:6">
      <c r="E88" s="19"/>
      <c r="F88" s="19"/>
    </row>
    <row r="89" spans="5:6">
      <c r="E89" s="19"/>
      <c r="F89" s="19"/>
    </row>
    <row r="90" spans="5:6">
      <c r="E90" s="19"/>
      <c r="F90" s="19"/>
    </row>
    <row r="91" spans="5:6">
      <c r="E91" s="19"/>
      <c r="F91" s="19"/>
    </row>
    <row r="92" spans="5:6">
      <c r="E92" s="19"/>
      <c r="F92" s="19"/>
    </row>
    <row r="93" spans="5:6">
      <c r="E93" s="19"/>
      <c r="F93" s="19"/>
    </row>
    <row r="94" spans="5:6">
      <c r="E94" s="19"/>
      <c r="F94" s="19"/>
    </row>
    <row r="95" spans="5:6">
      <c r="E95" s="19"/>
      <c r="F95" s="19"/>
    </row>
    <row r="96" spans="5:6">
      <c r="E96" s="19"/>
      <c r="F96" s="19"/>
    </row>
    <row r="97" spans="5:6">
      <c r="E97" s="19"/>
      <c r="F97" s="19"/>
    </row>
    <row r="98" spans="5:6">
      <c r="E98" s="19"/>
      <c r="F98" s="19"/>
    </row>
    <row r="99" spans="5:6">
      <c r="E99" s="19"/>
      <c r="F99" s="19"/>
    </row>
    <row r="100" spans="5:6">
      <c r="E100" s="19"/>
      <c r="F100" s="19"/>
    </row>
    <row r="101" spans="5:6">
      <c r="E101" s="19"/>
      <c r="F101" s="19"/>
    </row>
    <row r="102" spans="5:6">
      <c r="E102" s="19"/>
      <c r="F102" s="19"/>
    </row>
    <row r="103" spans="5:6">
      <c r="E103" s="19"/>
      <c r="F103" s="19"/>
    </row>
    <row r="104" spans="5:6">
      <c r="E104" s="19"/>
      <c r="F104" s="19"/>
    </row>
    <row r="105" spans="5:6">
      <c r="E105" s="19"/>
      <c r="F105" s="19"/>
    </row>
    <row r="106" spans="5:6">
      <c r="E106" s="19"/>
      <c r="F106" s="19"/>
    </row>
    <row r="107" spans="5:6">
      <c r="E107" s="19"/>
      <c r="F107" s="19"/>
    </row>
    <row r="108" spans="5:6">
      <c r="E108" s="19"/>
      <c r="F108" s="19"/>
    </row>
    <row r="109" spans="5:6">
      <c r="E109" s="19"/>
      <c r="F109" s="19"/>
    </row>
    <row r="110" spans="5:6">
      <c r="E110" s="19"/>
      <c r="F110" s="19"/>
    </row>
    <row r="111" spans="5:6">
      <c r="E111" s="19"/>
      <c r="F111" s="19"/>
    </row>
    <row r="112" spans="5:6">
      <c r="E112" s="19"/>
      <c r="F112" s="19"/>
    </row>
    <row r="113" spans="5:6">
      <c r="E113" s="19"/>
      <c r="F113" s="19"/>
    </row>
    <row r="114" spans="5:6">
      <c r="E114" s="19"/>
      <c r="F114" s="19"/>
    </row>
    <row r="115" spans="5:6">
      <c r="E115" s="19"/>
      <c r="F115" s="19"/>
    </row>
    <row r="116" spans="5:6">
      <c r="E116" s="19"/>
      <c r="F116" s="19"/>
    </row>
    <row r="117" spans="5:6">
      <c r="E117" s="19"/>
      <c r="F117" s="19"/>
    </row>
    <row r="118" spans="5:6">
      <c r="E118" s="19"/>
      <c r="F118" s="19"/>
    </row>
    <row r="119" spans="5:6">
      <c r="E119" s="19"/>
      <c r="F119" s="19"/>
    </row>
    <row r="120" spans="5:6">
      <c r="E120" s="19"/>
      <c r="F120" s="19"/>
    </row>
    <row r="121" spans="5:6">
      <c r="E121" s="19"/>
      <c r="F121" s="19"/>
    </row>
  </sheetData>
  <phoneticPr fontId="4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EA4E-7E89-47CE-9B10-01988F5BF1C9}">
  <sheetPr codeName="Hoja6">
    <tabColor rgb="FFFFC000"/>
  </sheetPr>
  <dimension ref="A1:G11"/>
  <sheetViews>
    <sheetView showGridLines="0" workbookViewId="0">
      <selection activeCell="A7" sqref="A7"/>
    </sheetView>
  </sheetViews>
  <sheetFormatPr baseColWidth="10" defaultRowHeight="12.5"/>
  <cols>
    <col min="1" max="1" width="30.08984375" customWidth="1"/>
    <col min="2" max="2" width="2.08984375" customWidth="1"/>
    <col min="3" max="3" width="27.08984375" customWidth="1"/>
    <col min="4" max="4" width="4.6328125" customWidth="1"/>
    <col min="5" max="5" width="25.08984375" bestFit="1" customWidth="1"/>
    <col min="6" max="6" width="2.6328125" customWidth="1"/>
    <col min="7" max="7" width="14.08984375" bestFit="1" customWidth="1"/>
  </cols>
  <sheetData>
    <row r="1" spans="1:7">
      <c r="A1" t="s">
        <v>31</v>
      </c>
      <c r="B1" s="6"/>
      <c r="C1" s="7" t="s">
        <v>33</v>
      </c>
      <c r="E1" s="7" t="s">
        <v>32</v>
      </c>
      <c r="G1" s="7" t="s">
        <v>60</v>
      </c>
    </row>
    <row r="2" spans="1:7">
      <c r="A2" t="s">
        <v>32</v>
      </c>
      <c r="B2" s="6"/>
      <c r="C2" s="6" t="s">
        <v>38</v>
      </c>
      <c r="E2" s="6" t="s">
        <v>32</v>
      </c>
      <c r="G2" s="6" t="s">
        <v>32</v>
      </c>
    </row>
    <row r="3" spans="1:7">
      <c r="A3" t="s">
        <v>33</v>
      </c>
      <c r="C3" s="6" t="s">
        <v>39</v>
      </c>
      <c r="G3" t="s">
        <v>33</v>
      </c>
    </row>
    <row r="4" spans="1:7">
      <c r="A4" t="s">
        <v>36</v>
      </c>
      <c r="C4" s="6" t="s">
        <v>40</v>
      </c>
    </row>
    <row r="5" spans="1:7">
      <c r="A5" t="s">
        <v>37</v>
      </c>
      <c r="C5" s="6" t="s">
        <v>41</v>
      </c>
    </row>
    <row r="6" spans="1:7">
      <c r="A6" t="s">
        <v>34</v>
      </c>
      <c r="C6" s="6" t="s">
        <v>74</v>
      </c>
    </row>
    <row r="7" spans="1:7">
      <c r="A7" t="s">
        <v>35</v>
      </c>
    </row>
    <row r="11" spans="1:7">
      <c r="A11" s="6" t="s">
        <v>43</v>
      </c>
      <c r="C11" s="6" t="s">
        <v>42</v>
      </c>
      <c r="E11" s="6" t="s">
        <v>44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ISN</vt:lpstr>
      <vt:lpstr>RET ISN</vt:lpstr>
      <vt:lpstr>ISH</vt:lpstr>
      <vt:lpstr>RESUMEN</vt:lpstr>
      <vt:lpstr>VAR</vt:lpstr>
    </vt:vector>
  </TitlesOfParts>
  <Company>Grupo Xcaret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CarlosUP</dc:creator>
  <cp:lastModifiedBy>Alan Josue</cp:lastModifiedBy>
  <cp:lastPrinted>2026-01-20T17:13:17Z</cp:lastPrinted>
  <dcterms:created xsi:type="dcterms:W3CDTF">2007-09-18T00:07:04Z</dcterms:created>
  <dcterms:modified xsi:type="dcterms:W3CDTF">2026-09-02T01:52:38Z</dcterms:modified>
</cp:coreProperties>
</file>